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602"/>
  <workbookPr defaultThemeVersion="166925"/>
  <xr:revisionPtr revIDLastSave="236" documentId="11_E60897F41BE170836B02CE998F75CCDC64E183C8" xr6:coauthVersionLast="47" xr6:coauthVersionMax="47" xr10:uidLastSave="{D23F0FDA-5D2A-49EA-8B71-37F5E531DB13}"/>
  <bookViews>
    <workbookView xWindow="240" yWindow="105" windowWidth="14805" windowHeight="8010" xr2:uid="{00000000-000D-0000-FFFF-FFFF00000000}"/>
  </bookViews>
  <sheets>
    <sheet name="Practices"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H35" i="2" l="1"/>
  <c r="H36" i="2"/>
  <c r="H37" i="2"/>
  <c r="H34" i="2"/>
  <c r="H33" i="2"/>
  <c r="F25" i="2"/>
  <c r="C25" i="2"/>
  <c r="F18" i="2"/>
  <c r="C18" i="2"/>
  <c r="AD11" i="2"/>
  <c r="AD10" i="2"/>
  <c r="AD9" i="2"/>
  <c r="AD8" i="2"/>
  <c r="AD7" i="2"/>
  <c r="AD6" i="2"/>
  <c r="H3" i="2"/>
  <c r="H11" i="2"/>
  <c r="H4" i="2"/>
  <c r="H5" i="2"/>
  <c r="H6" i="2"/>
  <c r="H7" i="2"/>
  <c r="H8" i="2"/>
  <c r="H9" i="2"/>
  <c r="H10" i="2"/>
  <c r="H12" i="2"/>
  <c r="H13" i="2"/>
  <c r="H14" i="2"/>
  <c r="AD4" i="2"/>
  <c r="AD3" i="2"/>
  <c r="AD2" i="2"/>
  <c r="S10" i="2"/>
  <c r="S11" i="2"/>
  <c r="S9" i="2"/>
  <c r="S8" i="2"/>
  <c r="S7" i="2"/>
  <c r="S6" i="2"/>
  <c r="S5" i="2"/>
  <c r="S4" i="2"/>
  <c r="S3" i="2"/>
  <c r="S2" i="2"/>
</calcChain>
</file>

<file path=xl/sharedStrings.xml><?xml version="1.0" encoding="utf-8"?>
<sst xmlns="http://schemas.openxmlformats.org/spreadsheetml/2006/main" count="92" uniqueCount="82">
  <si>
    <t>Employee_ID</t>
  </si>
  <si>
    <t>Full_Name</t>
  </si>
  <si>
    <t>Email</t>
  </si>
  <si>
    <t>Department</t>
  </si>
  <si>
    <t>City</t>
  </si>
  <si>
    <t>Product_Code</t>
  </si>
  <si>
    <t>Trimmed Email</t>
  </si>
  <si>
    <t xml:space="preserve">
1. Using LEFT, extract the first 3 characters from Employee_ID.
2. Using RIGHT, extract the last 3 digits from Employee_ID.
3. Using LEN, find the number of characters in each employee's Full_Name.
4. Using LEFT, extract the first 3 characters from Product_Code.
5. Using RIGHT, extract the last 3 digits from Product_Code.
6. Use TRIM to remove the extra spaces from Full_Name.
7. Convert all names to UPPERCASE.
8. Convert all names to LOWERCASE.
9. Use LEFT and LEN together to extract the first 3 characters of each name.
10. Extract the first 5 characters of every employee's name.</t>
  </si>
  <si>
    <t xml:space="preserve">
11. Use LEN to find the length of each email address.
12. Use RIGHT to extract the last 3 characters of each email.
13. Use LEFT to extract the first 5 characters of each email.
14. Create a new column containing the email after removing extra spaces using TRIM.
15. Convert all email addresses to lowercase.
16. Extract PROD using LEFT.
17. Extract 001 using RIGHT.
18. Extract the middle 3-letter city code using MID.
19. Extract the city code from every Product Code.
20. Extract the product number from every Product Code.</t>
  </si>
  <si>
    <t>EMP001</t>
  </si>
  <si>
    <t>Md Modassir</t>
  </si>
  <si>
    <t>md.modassir@gmail.com</t>
  </si>
  <si>
    <t>Sales</t>
  </si>
  <si>
    <t>Delhi</t>
  </si>
  <si>
    <t>PROD-DEL-001</t>
  </si>
  <si>
    <t>EMP002</t>
  </si>
  <si>
    <t>rahul kumar</t>
  </si>
  <si>
    <t>RAHUL.KUMAR@gmail.com</t>
  </si>
  <si>
    <t>Marketing</t>
  </si>
  <si>
    <t>Mumbai</t>
  </si>
  <si>
    <t>PROD-MUM-002</t>
  </si>
  <si>
    <t>EMP003</t>
  </si>
  <si>
    <t>Sara Khan</t>
  </si>
  <si>
    <t>sara.khan@yahoo.com</t>
  </si>
  <si>
    <t>Finance</t>
  </si>
  <si>
    <t>Bangalore</t>
  </si>
  <si>
    <t>PROD-BLR-003</t>
  </si>
  <si>
    <t>Column H</t>
  </si>
  <si>
    <t>EMP004</t>
  </si>
  <si>
    <t>AMIT SHARMA</t>
  </si>
  <si>
    <t>amit.sharma@outlook.com</t>
  </si>
  <si>
    <t>IT</t>
  </si>
  <si>
    <t>Hyderabad</t>
  </si>
  <si>
    <t>PROD-HYD-004</t>
  </si>
  <si>
    <t>EMP005</t>
  </si>
  <si>
    <t xml:space="preserve"> priya singh</t>
  </si>
  <si>
    <t>priya.singh@gmail.com</t>
  </si>
  <si>
    <t>HR</t>
  </si>
  <si>
    <t>Pune</t>
  </si>
  <si>
    <t>PROD-PUN-005</t>
  </si>
  <si>
    <t>EMP006</t>
  </si>
  <si>
    <t>Rohan Mehta</t>
  </si>
  <si>
    <t xml:space="preserve"> rohan.mehta@yahoo.com </t>
  </si>
  <si>
    <t>Chennai</t>
  </si>
  <si>
    <t>PROD-CHE-006</t>
  </si>
  <si>
    <t>EMP007</t>
  </si>
  <si>
    <t>NEHA VERMA</t>
  </si>
  <si>
    <t>neha.verma@gmail.com</t>
  </si>
  <si>
    <t>Kolkata</t>
  </si>
  <si>
    <t>PROD-KOL-007</t>
  </si>
  <si>
    <t>EMP008</t>
  </si>
  <si>
    <t xml:space="preserve"> Arjun Patel </t>
  </si>
  <si>
    <t>arjun.patel@outlook.com</t>
  </si>
  <si>
    <t>Ahmedabad</t>
  </si>
  <si>
    <t>PROD-AHM-008</t>
  </si>
  <si>
    <t>EMP009</t>
  </si>
  <si>
    <t>Fatima Ali</t>
  </si>
  <si>
    <t>fatima.ali@gmail.com</t>
  </si>
  <si>
    <t>Jaipur</t>
  </si>
  <si>
    <t>PROD-JAI-009</t>
  </si>
  <si>
    <t>EMP010</t>
  </si>
  <si>
    <t xml:space="preserve"> vikas gupta</t>
  </si>
  <si>
    <t>vikas.gupta@yahoo.com</t>
  </si>
  <si>
    <t>PROD-DEL-010</t>
  </si>
  <si>
    <t>EMP011</t>
  </si>
  <si>
    <t>ANJALI RAO</t>
  </si>
  <si>
    <t xml:space="preserve"> anjali.rao@gmail.com </t>
  </si>
  <si>
    <t>PROD-MUM-011</t>
  </si>
  <si>
    <t>EMP012</t>
  </si>
  <si>
    <t>Karan Joshi</t>
  </si>
  <si>
    <t>karan.joshi@outlook.com</t>
  </si>
  <si>
    <t>PROD-PUN-012</t>
  </si>
  <si>
    <t>Create a new column:
Employee_ID - Full_Name
Example:
EMP001 - Md Modassir</t>
  </si>
  <si>
    <t>Employee_ID - Full_Name</t>
  </si>
  <si>
    <t>Create:
Full_Name | Department
Example:
Md Modassir | Sales</t>
  </si>
  <si>
    <t>Full_Name | Department</t>
  </si>
  <si>
    <t xml:space="preserve">
⭐ Interview-style challenge
Create a new column called Employee Summary that produces this format:
EMP001 | MD MODASSIR | SALES | DELHI
Requirements:
Remove extra spaces from the name.
Convert the name to uppercase.
Convert the department to uppercase.
Convert the city to uppercase.
Join everything using TEXTJOIN.</t>
  </si>
  <si>
    <t>Create:
Employee_ID - Full_Name - City
Example:
EMP001 - Md Modassir - Delhi</t>
  </si>
  <si>
    <t>Employee_ID - Full_Name - City</t>
  </si>
  <si>
    <t>Create:
Name (Department, City)
Example:
Md Modassir (Sales, Delhi)</t>
  </si>
  <si>
    <t>Name (Department, City)</t>
  </si>
  <si>
    <t>Employee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</si>
</sst>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2"/>
      <color theme="1"/>
      <name val="Calibri"/>
      <family val="2"/>
      <scheme val="minor"/>
    </font>
    <font>
      <b/>
      <sz val="12"/>
      <color theme="1"/>
      <name val="Calibri"/>
      <family val="2"/>
      <scheme val="minor"/>
    </font>
    <font>
      <u/>
      <sz val="11"/>
      <color theme="10"/>
      <name val="Calibri"/>
      <family val="2"/>
      <scheme val="minor"/>
    </font>
    <font>
      <b/>
      <sz val="14"/>
      <color theme="1"/>
      <name val="Calibri"/>
      <family val="2"/>
      <scheme val="minor"/>
    </font>
  </fonts>
  <fills count="3">
    <fill>
      <patternFill patternType="none"/>
    </fill>
    <fill>
      <patternFill patternType="gray125"/>
    </fill>
    <fill>
      <patternFill patternType="solid">
        <fgColor theme="0"/>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2">
    <xf numFmtId="0" fontId="0" fillId="0" borderId="0"/>
    <xf numFmtId="0" fontId="3" fillId="0" borderId="0" applyNumberFormat="0" applyFill="0" applyBorder="0" applyAlignment="0" applyProtection="0"/>
  </cellStyleXfs>
  <cellXfs count="24">
    <xf numFmtId="0" fontId="0" fillId="0" borderId="0" xfId="0"/>
    <xf numFmtId="0" fontId="1" fillId="0" borderId="1" xfId="0" applyFont="1" applyBorder="1" applyAlignment="1">
      <alignment horizontal="center" vertical="center"/>
    </xf>
    <xf numFmtId="0" fontId="2" fillId="0" borderId="1" xfId="0" applyFont="1" applyBorder="1" applyAlignment="1">
      <alignment horizontal="center" vertical="center"/>
    </xf>
    <xf numFmtId="0" fontId="1" fillId="0" borderId="1" xfId="0" applyFont="1" applyBorder="1" applyAlignment="1">
      <alignment horizontal="left" vertical="center" indent="1"/>
    </xf>
    <xf numFmtId="0" fontId="1" fillId="2" borderId="10" xfId="0" applyFont="1" applyFill="1" applyBorder="1" applyAlignment="1">
      <alignment horizontal="center" vertical="center" indent="2"/>
    </xf>
    <xf numFmtId="0" fontId="0" fillId="0" borderId="2" xfId="0" applyBorder="1" applyAlignment="1">
      <alignment horizontal="left" vertical="top" wrapText="1" indent="1"/>
    </xf>
    <xf numFmtId="0" fontId="0" fillId="0" borderId="3" xfId="0" applyBorder="1" applyAlignment="1">
      <alignment horizontal="left" vertical="top" wrapText="1" indent="1"/>
    </xf>
    <xf numFmtId="0" fontId="0" fillId="0" borderId="4" xfId="0" applyBorder="1" applyAlignment="1">
      <alignment horizontal="left" vertical="top" wrapText="1" indent="1"/>
    </xf>
    <xf numFmtId="0" fontId="0" fillId="0" borderId="5" xfId="0" applyBorder="1" applyAlignment="1">
      <alignment horizontal="left" vertical="top" wrapText="1" indent="1"/>
    </xf>
    <xf numFmtId="0" fontId="0" fillId="0" borderId="0" xfId="0" applyBorder="1" applyAlignment="1">
      <alignment horizontal="left" vertical="top" wrapText="1" indent="1"/>
    </xf>
    <xf numFmtId="0" fontId="0" fillId="0" borderId="6" xfId="0" applyBorder="1" applyAlignment="1">
      <alignment horizontal="left" vertical="top" wrapText="1" indent="1"/>
    </xf>
    <xf numFmtId="0" fontId="0" fillId="0" borderId="7" xfId="0" applyBorder="1" applyAlignment="1">
      <alignment horizontal="left" vertical="top" wrapText="1" indent="1"/>
    </xf>
    <xf numFmtId="0" fontId="0" fillId="0" borderId="8" xfId="0" applyBorder="1" applyAlignment="1">
      <alignment horizontal="left" vertical="top" wrapText="1" indent="1"/>
    </xf>
    <xf numFmtId="0" fontId="0" fillId="0" borderId="9" xfId="0" applyBorder="1" applyAlignment="1">
      <alignment horizontal="left" vertical="top" wrapText="1" indent="1"/>
    </xf>
    <xf numFmtId="0" fontId="1" fillId="2" borderId="1" xfId="0" applyFont="1" applyFill="1" applyBorder="1" applyAlignment="1">
      <alignment horizontal="center" vertical="center" indent="2"/>
    </xf>
    <xf numFmtId="0" fontId="3" fillId="0" borderId="1" xfId="1" applyBorder="1" applyAlignment="1">
      <alignment horizontal="center" vertical="center"/>
    </xf>
    <xf numFmtId="0" fontId="0" fillId="0" borderId="1" xfId="0" applyBorder="1" applyAlignment="1">
      <alignment horizontal="left" vertical="top" wrapText="1" indent="1"/>
    </xf>
    <xf numFmtId="0" fontId="0" fillId="0" borderId="1" xfId="0" applyBorder="1" applyAlignment="1">
      <alignment horizontal="left" vertical="top" indent="1"/>
    </xf>
    <xf numFmtId="0" fontId="1" fillId="0" borderId="11" xfId="0" applyFont="1" applyBorder="1" applyAlignment="1">
      <alignment horizontal="center" vertical="center"/>
    </xf>
    <xf numFmtId="0" fontId="1" fillId="0" borderId="1" xfId="0" applyFont="1" applyBorder="1" applyAlignment="1">
      <alignment horizontal="left" vertical="top" wrapText="1" indent="2"/>
    </xf>
    <xf numFmtId="0" fontId="1" fillId="0" borderId="1" xfId="0" applyFont="1" applyBorder="1" applyAlignment="1">
      <alignment horizontal="left" vertical="top" indent="2"/>
    </xf>
    <xf numFmtId="0" fontId="0" fillId="0" borderId="3" xfId="0" applyBorder="1" applyAlignment="1"/>
    <xf numFmtId="0" fontId="4" fillId="0" borderId="12" xfId="0" applyFont="1" applyBorder="1" applyAlignment="1">
      <alignment horizontal="left" vertical="center" indent="1"/>
    </xf>
    <xf numFmtId="0" fontId="1" fillId="0" borderId="1" xfId="0" applyFont="1" applyBorder="1" applyAlignment="1">
      <alignment horizontal="left" vertical="center" inden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md.modassir@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0807A-88FC-4C1C-8274-CBCF30A48F0D}">
  <dimension ref="B1:AD37"/>
  <sheetViews>
    <sheetView tabSelected="1" topLeftCell="E12" workbookViewId="0">
      <selection activeCell="H33" sqref="H33:L33"/>
    </sheetView>
  </sheetViews>
  <sheetFormatPr defaultRowHeight="15"/>
  <cols>
    <col min="2" max="2" width="31.5703125" customWidth="1"/>
    <col min="3" max="3" width="35.42578125" customWidth="1"/>
    <col min="4" max="4" width="36" customWidth="1"/>
    <col min="5" max="5" width="28.5703125" customWidth="1"/>
    <col min="6" max="6" width="31.28515625" customWidth="1"/>
    <col min="7" max="7" width="26.85546875" customWidth="1"/>
    <col min="8" max="8" width="40.140625" customWidth="1"/>
    <col min="9" max="9" width="12.28515625" customWidth="1"/>
    <col min="12" max="12" width="0" hidden="1" customWidth="1"/>
    <col min="19" max="19" width="18.5703125" customWidth="1"/>
    <col min="29" max="29" width="10.85546875" customWidth="1"/>
    <col min="30" max="30" width="31.5703125" customWidth="1"/>
  </cols>
  <sheetData>
    <row r="1" spans="2:30" ht="22.5" customHeight="1"/>
    <row r="2" spans="2:30" ht="34.5" customHeight="1">
      <c r="B2" s="2" t="s">
        <v>0</v>
      </c>
      <c r="C2" s="2" t="s">
        <v>1</v>
      </c>
      <c r="D2" s="2" t="s">
        <v>2</v>
      </c>
      <c r="E2" s="2" t="s">
        <v>3</v>
      </c>
      <c r="F2" s="2" t="s">
        <v>4</v>
      </c>
      <c r="G2" s="2" t="s">
        <v>5</v>
      </c>
      <c r="H2" s="2" t="s">
        <v>6</v>
      </c>
      <c r="J2" s="5" t="s">
        <v>7</v>
      </c>
      <c r="K2" s="6"/>
      <c r="L2" s="6"/>
      <c r="M2" s="6"/>
      <c r="N2" s="6"/>
      <c r="O2" s="6"/>
      <c r="P2" s="7"/>
      <c r="R2" s="4">
        <v>1</v>
      </c>
      <c r="S2" s="3" t="str">
        <f>LEFT(B3,3)</f>
        <v>EMP</v>
      </c>
      <c r="U2" s="5" t="s">
        <v>8</v>
      </c>
      <c r="V2" s="6"/>
      <c r="W2" s="6"/>
      <c r="X2" s="6"/>
      <c r="Y2" s="6"/>
      <c r="Z2" s="6"/>
      <c r="AA2" s="7"/>
      <c r="AC2" s="14">
        <v>11</v>
      </c>
      <c r="AD2" s="3">
        <f>LEN(D3)</f>
        <v>21</v>
      </c>
    </row>
    <row r="3" spans="2:30" ht="22.5" customHeight="1">
      <c r="B3" s="1" t="s">
        <v>9</v>
      </c>
      <c r="C3" s="1" t="s">
        <v>10</v>
      </c>
      <c r="D3" s="15" t="s">
        <v>11</v>
      </c>
      <c r="E3" s="1" t="s">
        <v>12</v>
      </c>
      <c r="F3" s="1" t="s">
        <v>13</v>
      </c>
      <c r="G3" s="1" t="s">
        <v>14</v>
      </c>
      <c r="H3" s="1" t="str">
        <f>TRIM(D3)</f>
        <v>md.modassir@gmail.com</v>
      </c>
      <c r="J3" s="8"/>
      <c r="K3" s="9"/>
      <c r="L3" s="9"/>
      <c r="M3" s="9"/>
      <c r="N3" s="9"/>
      <c r="O3" s="9"/>
      <c r="P3" s="10"/>
      <c r="R3" s="4">
        <v>2</v>
      </c>
      <c r="S3" s="3" t="str">
        <f>RIGHT(B3, 3)</f>
        <v>001</v>
      </c>
      <c r="U3" s="8"/>
      <c r="V3" s="9"/>
      <c r="W3" s="9"/>
      <c r="X3" s="9"/>
      <c r="Y3" s="9"/>
      <c r="Z3" s="9"/>
      <c r="AA3" s="10"/>
      <c r="AC3" s="14">
        <v>12</v>
      </c>
      <c r="AD3" s="3" t="str">
        <f>RIGHT(D3, 3)</f>
        <v>com</v>
      </c>
    </row>
    <row r="4" spans="2:30" ht="22.5" customHeight="1">
      <c r="B4" s="1" t="s">
        <v>15</v>
      </c>
      <c r="C4" s="1" t="s">
        <v>16</v>
      </c>
      <c r="D4" s="1" t="s">
        <v>17</v>
      </c>
      <c r="E4" s="1" t="s">
        <v>18</v>
      </c>
      <c r="F4" s="1" t="s">
        <v>19</v>
      </c>
      <c r="G4" s="1" t="s">
        <v>20</v>
      </c>
      <c r="H4" s="1" t="str">
        <f t="shared" ref="H4:H14" si="0">TRIM(D4)</f>
        <v>RAHUL.KUMAR@gmail.com</v>
      </c>
      <c r="J4" s="8"/>
      <c r="K4" s="9"/>
      <c r="L4" s="9"/>
      <c r="M4" s="9"/>
      <c r="N4" s="9"/>
      <c r="O4" s="9"/>
      <c r="P4" s="10"/>
      <c r="R4" s="4">
        <v>3</v>
      </c>
      <c r="S4" s="3">
        <f>LEN(C3)</f>
        <v>11</v>
      </c>
      <c r="U4" s="8"/>
      <c r="V4" s="9"/>
      <c r="W4" s="9"/>
      <c r="X4" s="9"/>
      <c r="Y4" s="9"/>
      <c r="Z4" s="9"/>
      <c r="AA4" s="10"/>
      <c r="AC4" s="14">
        <v>13</v>
      </c>
      <c r="AD4" s="3" t="str">
        <f>LEFT(D3, 5)</f>
        <v>md.mo</v>
      </c>
    </row>
    <row r="5" spans="2:30" ht="22.5" customHeight="1">
      <c r="B5" s="1" t="s">
        <v>21</v>
      </c>
      <c r="C5" s="1" t="s">
        <v>22</v>
      </c>
      <c r="D5" s="1" t="s">
        <v>23</v>
      </c>
      <c r="E5" s="1" t="s">
        <v>24</v>
      </c>
      <c r="F5" s="1" t="s">
        <v>25</v>
      </c>
      <c r="G5" s="1" t="s">
        <v>26</v>
      </c>
      <c r="H5" s="1" t="str">
        <f t="shared" si="0"/>
        <v>sara.khan@yahoo.com</v>
      </c>
      <c r="J5" s="8"/>
      <c r="K5" s="9"/>
      <c r="L5" s="9"/>
      <c r="M5" s="9"/>
      <c r="N5" s="9"/>
      <c r="O5" s="9"/>
      <c r="P5" s="10"/>
      <c r="R5" s="4">
        <v>4</v>
      </c>
      <c r="S5" s="3" t="str">
        <f>LEFT(G3,3)</f>
        <v>PRO</v>
      </c>
      <c r="U5" s="8"/>
      <c r="V5" s="9"/>
      <c r="W5" s="9"/>
      <c r="X5" s="9"/>
      <c r="Y5" s="9"/>
      <c r="Z5" s="9"/>
      <c r="AA5" s="10"/>
      <c r="AC5" s="14">
        <v>14</v>
      </c>
      <c r="AD5" s="3" t="s">
        <v>27</v>
      </c>
    </row>
    <row r="6" spans="2:30" ht="22.5" customHeight="1">
      <c r="B6" s="1" t="s">
        <v>28</v>
      </c>
      <c r="C6" s="1" t="s">
        <v>29</v>
      </c>
      <c r="D6" s="1" t="s">
        <v>30</v>
      </c>
      <c r="E6" s="1" t="s">
        <v>31</v>
      </c>
      <c r="F6" s="1" t="s">
        <v>32</v>
      </c>
      <c r="G6" s="1" t="s">
        <v>33</v>
      </c>
      <c r="H6" s="1" t="str">
        <f t="shared" si="0"/>
        <v>amit.sharma@outlook.com</v>
      </c>
      <c r="J6" s="8"/>
      <c r="K6" s="9"/>
      <c r="L6" s="9"/>
      <c r="M6" s="9"/>
      <c r="N6" s="9"/>
      <c r="O6" s="9"/>
      <c r="P6" s="10"/>
      <c r="R6" s="4">
        <v>5</v>
      </c>
      <c r="S6" s="3" t="str">
        <f>RIGHT(G3, 3)</f>
        <v>001</v>
      </c>
      <c r="U6" s="8"/>
      <c r="V6" s="9"/>
      <c r="W6" s="9"/>
      <c r="X6" s="9"/>
      <c r="Y6" s="9"/>
      <c r="Z6" s="9"/>
      <c r="AA6" s="10"/>
      <c r="AC6" s="14">
        <v>15</v>
      </c>
      <c r="AD6" s="3" t="str">
        <f>LOWER(D4)</f>
        <v>rahul.kumar@gmail.com</v>
      </c>
    </row>
    <row r="7" spans="2:30" ht="22.5" customHeight="1">
      <c r="B7" s="1" t="s">
        <v>34</v>
      </c>
      <c r="C7" s="1" t="s">
        <v>35</v>
      </c>
      <c r="D7" s="1" t="s">
        <v>36</v>
      </c>
      <c r="E7" s="1" t="s">
        <v>37</v>
      </c>
      <c r="F7" s="1" t="s">
        <v>38</v>
      </c>
      <c r="G7" s="1" t="s">
        <v>39</v>
      </c>
      <c r="H7" s="1" t="str">
        <f t="shared" si="0"/>
        <v>priya.singh@gmail.com</v>
      </c>
      <c r="J7" s="8"/>
      <c r="K7" s="9"/>
      <c r="L7" s="9"/>
      <c r="M7" s="9"/>
      <c r="N7" s="9"/>
      <c r="O7" s="9"/>
      <c r="P7" s="10"/>
      <c r="R7" s="4">
        <v>6</v>
      </c>
      <c r="S7" s="3" t="str">
        <f>TRIM(C9)</f>
        <v>NEHA VERMA</v>
      </c>
      <c r="U7" s="8"/>
      <c r="V7" s="9"/>
      <c r="W7" s="9"/>
      <c r="X7" s="9"/>
      <c r="Y7" s="9"/>
      <c r="Z7" s="9"/>
      <c r="AA7" s="10"/>
      <c r="AC7" s="14">
        <v>16</v>
      </c>
      <c r="AD7" s="3" t="str">
        <f>LEFT(G3, 4)</f>
        <v>PROD</v>
      </c>
    </row>
    <row r="8" spans="2:30" ht="22.5" customHeight="1">
      <c r="B8" s="1" t="s">
        <v>40</v>
      </c>
      <c r="C8" s="1" t="s">
        <v>41</v>
      </c>
      <c r="D8" s="1" t="s">
        <v>42</v>
      </c>
      <c r="E8" s="1" t="s">
        <v>12</v>
      </c>
      <c r="F8" s="1" t="s">
        <v>43</v>
      </c>
      <c r="G8" s="1" t="s">
        <v>44</v>
      </c>
      <c r="H8" s="1" t="str">
        <f t="shared" si="0"/>
        <v>rohan.mehta@yahoo.com</v>
      </c>
      <c r="J8" s="8"/>
      <c r="K8" s="9"/>
      <c r="L8" s="9"/>
      <c r="M8" s="9"/>
      <c r="N8" s="9"/>
      <c r="O8" s="9"/>
      <c r="P8" s="10"/>
      <c r="R8" s="4">
        <v>7</v>
      </c>
      <c r="S8" s="3" t="str">
        <f>UPPER(C3)</f>
        <v>MD MODASSIR</v>
      </c>
      <c r="U8" s="8"/>
      <c r="V8" s="9"/>
      <c r="W8" s="9"/>
      <c r="X8" s="9"/>
      <c r="Y8" s="9"/>
      <c r="Z8" s="9"/>
      <c r="AA8" s="10"/>
      <c r="AC8" s="14">
        <v>17</v>
      </c>
      <c r="AD8" s="3" t="str">
        <f>RIGHT(G3, 3)</f>
        <v>001</v>
      </c>
    </row>
    <row r="9" spans="2:30" ht="22.5" customHeight="1">
      <c r="B9" s="1" t="s">
        <v>45</v>
      </c>
      <c r="C9" s="1" t="s">
        <v>46</v>
      </c>
      <c r="D9" s="1" t="s">
        <v>47</v>
      </c>
      <c r="E9" s="1" t="s">
        <v>18</v>
      </c>
      <c r="F9" s="1" t="s">
        <v>48</v>
      </c>
      <c r="G9" s="1" t="s">
        <v>49</v>
      </c>
      <c r="H9" s="1" t="str">
        <f t="shared" si="0"/>
        <v>neha.verma@gmail.com</v>
      </c>
      <c r="J9" s="8"/>
      <c r="K9" s="9"/>
      <c r="L9" s="9"/>
      <c r="M9" s="9"/>
      <c r="N9" s="9"/>
      <c r="O9" s="9"/>
      <c r="P9" s="10"/>
      <c r="R9" s="4">
        <v>8</v>
      </c>
      <c r="S9" s="3" t="str">
        <f>LOWER(C3)</f>
        <v>md modassir</v>
      </c>
      <c r="U9" s="8"/>
      <c r="V9" s="9"/>
      <c r="W9" s="9"/>
      <c r="X9" s="9"/>
      <c r="Y9" s="9"/>
      <c r="Z9" s="9"/>
      <c r="AA9" s="10"/>
      <c r="AC9" s="14">
        <v>18</v>
      </c>
      <c r="AD9" s="3" t="str">
        <f>MID(F6, 4, 3)</f>
        <v>era</v>
      </c>
    </row>
    <row r="10" spans="2:30" ht="22.5" customHeight="1">
      <c r="B10" s="1" t="s">
        <v>50</v>
      </c>
      <c r="C10" s="1" t="s">
        <v>51</v>
      </c>
      <c r="D10" s="1" t="s">
        <v>52</v>
      </c>
      <c r="E10" s="1" t="s">
        <v>31</v>
      </c>
      <c r="F10" s="1" t="s">
        <v>53</v>
      </c>
      <c r="G10" s="1" t="s">
        <v>54</v>
      </c>
      <c r="H10" s="1" t="str">
        <f t="shared" si="0"/>
        <v>arjun.patel@outlook.com</v>
      </c>
      <c r="J10" s="11"/>
      <c r="K10" s="12"/>
      <c r="L10" s="12"/>
      <c r="M10" s="12"/>
      <c r="N10" s="12"/>
      <c r="O10" s="12"/>
      <c r="P10" s="13"/>
      <c r="R10" s="4">
        <v>9</v>
      </c>
      <c r="S10" s="3" t="str">
        <f>LEFT(C11, LEN(C11) - 7)</f>
        <v>Fat</v>
      </c>
      <c r="U10" s="11"/>
      <c r="V10" s="12"/>
      <c r="W10" s="12"/>
      <c r="X10" s="12"/>
      <c r="Y10" s="12"/>
      <c r="Z10" s="12"/>
      <c r="AA10" s="13"/>
      <c r="AC10" s="14">
        <v>19</v>
      </c>
      <c r="AD10" s="3" t="str">
        <f>MID(G3, 6, 3)</f>
        <v>DEL</v>
      </c>
    </row>
    <row r="11" spans="2:30" ht="22.5" customHeight="1">
      <c r="B11" s="1" t="s">
        <v>55</v>
      </c>
      <c r="C11" s="1" t="s">
        <v>56</v>
      </c>
      <c r="D11" s="1" t="s">
        <v>57</v>
      </c>
      <c r="E11" s="1" t="s">
        <v>24</v>
      </c>
      <c r="F11" s="1" t="s">
        <v>58</v>
      </c>
      <c r="G11" s="1" t="s">
        <v>59</v>
      </c>
      <c r="H11" s="1" t="str">
        <f>TRIM(D11)</f>
        <v>fatima.ali@gmail.com</v>
      </c>
      <c r="R11" s="4">
        <v>10</v>
      </c>
      <c r="S11" s="3" t="str">
        <f>LEFT(C8,5)</f>
        <v>Rohan</v>
      </c>
      <c r="AC11" s="14">
        <v>20</v>
      </c>
      <c r="AD11" s="3" t="str">
        <f>RIGHT(G10, 3)</f>
        <v>008</v>
      </c>
    </row>
    <row r="12" spans="2:30" ht="22.5" customHeight="1">
      <c r="B12" s="1" t="s">
        <v>60</v>
      </c>
      <c r="C12" s="1" t="s">
        <v>61</v>
      </c>
      <c r="D12" s="1" t="s">
        <v>62</v>
      </c>
      <c r="E12" s="1" t="s">
        <v>37</v>
      </c>
      <c r="F12" s="1" t="s">
        <v>13</v>
      </c>
      <c r="G12" s="1" t="s">
        <v>63</v>
      </c>
      <c r="H12" s="1" t="str">
        <f t="shared" si="0"/>
        <v>vikas.gupta@yahoo.com</v>
      </c>
    </row>
    <row r="13" spans="2:30" ht="22.5" customHeight="1">
      <c r="B13" s="1" t="s">
        <v>64</v>
      </c>
      <c r="C13" s="1" t="s">
        <v>65</v>
      </c>
      <c r="D13" s="1" t="s">
        <v>66</v>
      </c>
      <c r="E13" s="1" t="s">
        <v>12</v>
      </c>
      <c r="F13" s="1" t="s">
        <v>19</v>
      </c>
      <c r="G13" s="1" t="s">
        <v>67</v>
      </c>
      <c r="H13" s="1" t="str">
        <f t="shared" si="0"/>
        <v>anjali.rao@gmail.com</v>
      </c>
    </row>
    <row r="14" spans="2:30" ht="22.5" customHeight="1">
      <c r="B14" s="1" t="s">
        <v>68</v>
      </c>
      <c r="C14" s="1" t="s">
        <v>69</v>
      </c>
      <c r="D14" s="1" t="s">
        <v>70</v>
      </c>
      <c r="E14" s="1" t="s">
        <v>31</v>
      </c>
      <c r="F14" s="1" t="s">
        <v>38</v>
      </c>
      <c r="G14" s="1" t="s">
        <v>71</v>
      </c>
      <c r="H14" s="1" t="str">
        <f t="shared" si="0"/>
        <v>karan.joshi@outlook.com</v>
      </c>
    </row>
    <row r="17" spans="2:12" ht="24.75" customHeight="1">
      <c r="B17" s="16" t="s">
        <v>72</v>
      </c>
      <c r="C17" s="18" t="s">
        <v>73</v>
      </c>
      <c r="E17" s="16" t="s">
        <v>74</v>
      </c>
      <c r="F17" s="18" t="s">
        <v>75</v>
      </c>
      <c r="H17" s="19" t="s">
        <v>76</v>
      </c>
      <c r="I17" s="20"/>
      <c r="J17" s="20"/>
      <c r="K17" s="20"/>
      <c r="L17" s="20"/>
    </row>
    <row r="18" spans="2:12" ht="24.75" customHeight="1">
      <c r="B18" s="17"/>
      <c r="C18" s="18" t="str">
        <f>_xlfn.CONCAT(B3," - ", C3)</f>
        <v>EMP001 - Md Modassir</v>
      </c>
      <c r="E18" s="17"/>
      <c r="F18" s="18" t="str">
        <f>_xlfn.CONCAT(C3, " | ", E3)</f>
        <v>Md Modassir | Sales</v>
      </c>
      <c r="H18" s="20"/>
      <c r="I18" s="20"/>
      <c r="J18" s="20"/>
      <c r="K18" s="20"/>
      <c r="L18" s="20"/>
    </row>
    <row r="19" spans="2:12">
      <c r="B19" s="17"/>
      <c r="E19" s="17"/>
      <c r="H19" s="20"/>
      <c r="I19" s="20"/>
      <c r="J19" s="20"/>
      <c r="K19" s="20"/>
      <c r="L19" s="20"/>
    </row>
    <row r="20" spans="2:12">
      <c r="B20" s="17"/>
      <c r="E20" s="17"/>
      <c r="H20" s="20"/>
      <c r="I20" s="20"/>
      <c r="J20" s="20"/>
      <c r="K20" s="20"/>
      <c r="L20" s="20"/>
    </row>
    <row r="21" spans="2:12">
      <c r="B21" s="17"/>
      <c r="E21" s="17"/>
      <c r="H21" s="20"/>
      <c r="I21" s="20"/>
      <c r="J21" s="20"/>
      <c r="K21" s="20"/>
      <c r="L21" s="20"/>
    </row>
    <row r="22" spans="2:12">
      <c r="H22" s="20"/>
      <c r="I22" s="20"/>
      <c r="J22" s="20"/>
      <c r="K22" s="20"/>
      <c r="L22" s="20"/>
    </row>
    <row r="23" spans="2:12">
      <c r="H23" s="20"/>
      <c r="I23" s="20"/>
      <c r="J23" s="20"/>
      <c r="K23" s="20"/>
      <c r="L23" s="20"/>
    </row>
    <row r="24" spans="2:12" ht="24.75" customHeight="1">
      <c r="B24" s="16" t="s">
        <v>77</v>
      </c>
      <c r="C24" s="18" t="s">
        <v>78</v>
      </c>
      <c r="E24" s="16" t="s">
        <v>79</v>
      </c>
      <c r="F24" s="18" t="s">
        <v>80</v>
      </c>
      <c r="H24" s="20"/>
      <c r="I24" s="20"/>
      <c r="J24" s="20"/>
      <c r="K24" s="20"/>
      <c r="L24" s="20"/>
    </row>
    <row r="25" spans="2:12" ht="24.75" customHeight="1">
      <c r="B25" s="17"/>
      <c r="C25" s="18" t="str">
        <f>_xlfn.CONCAT(B3, " - ", C3, " - ", F3)</f>
        <v>EMP001 - Md Modassir - Delhi</v>
      </c>
      <c r="E25" s="17"/>
      <c r="F25" s="18" t="str">
        <f>_xlfn.CONCAT(C11, " (", _xlfn.TEXTJOIN(", ", TRUE, E11, F11), ")")</f>
        <v>Fatima Ali (Finance, Jaipur)</v>
      </c>
      <c r="H25" s="20"/>
      <c r="I25" s="20"/>
      <c r="J25" s="20"/>
      <c r="K25" s="20"/>
      <c r="L25" s="20"/>
    </row>
    <row r="26" spans="2:12">
      <c r="B26" s="17"/>
      <c r="E26" s="17"/>
      <c r="H26" s="20"/>
      <c r="I26" s="20"/>
      <c r="J26" s="20"/>
      <c r="K26" s="20"/>
      <c r="L26" s="20"/>
    </row>
    <row r="27" spans="2:12">
      <c r="B27" s="17"/>
      <c r="E27" s="17"/>
      <c r="H27" s="20"/>
      <c r="I27" s="20"/>
      <c r="J27" s="20"/>
      <c r="K27" s="20"/>
      <c r="L27" s="20"/>
    </row>
    <row r="28" spans="2:12">
      <c r="B28" s="17"/>
      <c r="E28" s="17"/>
      <c r="H28" s="20"/>
      <c r="I28" s="20"/>
      <c r="J28" s="20"/>
      <c r="K28" s="20"/>
      <c r="L28" s="20"/>
    </row>
    <row r="29" spans="2:12">
      <c r="H29" s="20"/>
      <c r="I29" s="20"/>
      <c r="J29" s="20"/>
      <c r="K29" s="20"/>
      <c r="L29" s="20"/>
    </row>
    <row r="30" spans="2:12">
      <c r="H30" s="20"/>
      <c r="I30" s="20"/>
      <c r="J30" s="20"/>
      <c r="K30" s="20"/>
      <c r="L30" s="20"/>
    </row>
    <row r="31" spans="2:12">
      <c r="H31" s="21"/>
      <c r="I31" s="21"/>
      <c r="J31" s="21"/>
      <c r="K31" s="21"/>
      <c r="L31" s="21"/>
    </row>
    <row r="32" spans="2:12" ht="24.75" customHeight="1">
      <c r="H32" s="22" t="s">
        <v>81</v>
      </c>
      <c r="I32" s="22"/>
      <c r="J32" s="22"/>
      <c r="K32" s="22"/>
      <c r="L32" s="22"/>
    </row>
    <row r="33" spans="8:12" ht="23.25" customHeight="1">
      <c r="H33" s="23" t="str">
        <f>_xlfn.TEXTJOIN(" | ", TRUE, B3, UPPER(C3), UPPER(E3), UPPER(F3))</f>
        <v>EMP001 | MD MODASSIR | SALES | DELHI</v>
      </c>
      <c r="I33" s="23"/>
      <c r="J33" s="23"/>
      <c r="K33" s="23"/>
      <c r="L33" s="23"/>
    </row>
    <row r="34" spans="8:12" ht="23.25" customHeight="1">
      <c r="H34" s="23" t="str">
        <f>_xlfn.TEXTJOIN(" | ", TRUE, B4, UPPER(C4), UPPER(E4), UPPER(F4))</f>
        <v>EMP002 | RAHUL KUMAR | MARKETING | MUMBAI</v>
      </c>
      <c r="I34" s="23"/>
      <c r="J34" s="23"/>
      <c r="K34" s="23"/>
      <c r="L34" s="23"/>
    </row>
    <row r="35" spans="8:12" ht="23.25" customHeight="1">
      <c r="H35" s="23" t="str">
        <f t="shared" ref="H35:H37" si="1">_xlfn.TEXTJOIN(" | ", TRUE, B5, UPPER(C5), UPPER(E5), UPPER(F5))</f>
        <v>EMP003 | SARA KHAN | FINANCE | BANGALORE</v>
      </c>
      <c r="I35" s="23"/>
      <c r="J35" s="23"/>
      <c r="K35" s="23"/>
      <c r="L35" s="23"/>
    </row>
    <row r="36" spans="8:12" ht="23.25" customHeight="1">
      <c r="H36" s="23" t="str">
        <f t="shared" si="1"/>
        <v>EMP004 | AMIT SHARMA | IT | HYDERABAD</v>
      </c>
      <c r="I36" s="23"/>
      <c r="J36" s="23"/>
      <c r="K36" s="23"/>
      <c r="L36" s="23"/>
    </row>
    <row r="37" spans="8:12" ht="23.25" customHeight="1">
      <c r="H37" s="23" t="str">
        <f t="shared" si="1"/>
        <v>EMP005 |  PRIYA SINGH | HR | PUNE</v>
      </c>
      <c r="I37" s="23"/>
      <c r="J37" s="23"/>
      <c r="K37" s="23"/>
      <c r="L37" s="23"/>
    </row>
  </sheetData>
  <mergeCells count="13">
    <mergeCell ref="H35:L35"/>
    <mergeCell ref="H36:L36"/>
    <mergeCell ref="H37:L37"/>
    <mergeCell ref="H32:L32"/>
    <mergeCell ref="H33:L33"/>
    <mergeCell ref="H34:L34"/>
    <mergeCell ref="J2:P10"/>
    <mergeCell ref="U2:AA10"/>
    <mergeCell ref="B17:B21"/>
    <mergeCell ref="E17:E21"/>
    <mergeCell ref="B24:B28"/>
    <mergeCell ref="E24:E28"/>
    <mergeCell ref="H17:L30"/>
  </mergeCells>
  <hyperlinks>
    <hyperlink ref="D3" r:id="rId1" xr:uid="{FB027878-FA4A-4070-B59E-D187DDED950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Md Modassir</cp:lastModifiedBy>
  <cp:revision/>
  <dcterms:created xsi:type="dcterms:W3CDTF">2026-10-08T09:17:37Z</dcterms:created>
  <dcterms:modified xsi:type="dcterms:W3CDTF">2026-10-08T15:19:51Z</dcterms:modified>
  <cp:category/>
  <cp:contentStatus/>
</cp:coreProperties>
</file>