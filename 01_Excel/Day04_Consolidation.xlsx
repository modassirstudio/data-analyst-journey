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175" documentId="11_E60897F41BE170836B02CE998F75CCDC64E183C8" xr6:coauthVersionLast="47" xr6:coauthVersionMax="47" xr10:uidLastSave="{55013F2D-0F1B-46B2-B8E6-419E1FF6C94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19" i="1"/>
  <c r="G20" i="1"/>
  <c r="G16" i="1"/>
  <c r="G15" i="1"/>
  <c r="G14" i="1"/>
  <c r="G10" i="1"/>
  <c r="G9" i="1"/>
  <c r="G3" i="1"/>
  <c r="G5" i="1"/>
  <c r="G4" i="1"/>
  <c r="G2" i="1"/>
</calcChain>
</file>

<file path=xl/sharedStrings.xml><?xml version="1.0" encoding="utf-8"?>
<sst xmlns="http://schemas.openxmlformats.org/spreadsheetml/2006/main" count="44" uniqueCount="35">
  <si>
    <t>A</t>
  </si>
  <si>
    <t>B</t>
  </si>
  <si>
    <t>C</t>
  </si>
  <si>
    <t>Pen</t>
  </si>
  <si>
    <t>S.No.</t>
  </si>
  <si>
    <t>XLOOKUP</t>
  </si>
  <si>
    <r>
      <rPr>
        <b/>
        <sz val="12"/>
        <color rgb="FF000000"/>
        <rFont val="Calibri"/>
        <scheme val="minor"/>
      </rPr>
      <t>Task 1.</t>
    </r>
    <r>
      <rPr>
        <sz val="12"/>
        <color rgb="FF000000"/>
        <rFont val="Calibri"/>
        <scheme val="minor"/>
      </rPr>
      <t xml:space="preserve"> Find the price of "Marker".
</t>
    </r>
    <r>
      <rPr>
        <b/>
        <sz val="12"/>
        <color rgb="FF000000"/>
        <rFont val="Calibri"/>
        <scheme val="minor"/>
      </rPr>
      <t>Task 2.</t>
    </r>
    <r>
      <rPr>
        <sz val="12"/>
        <color rgb="FF000000"/>
        <rFont val="Calibri"/>
        <scheme val="minor"/>
      </rPr>
      <t xml:space="preserve"> Find the price of "Chocolate" (not in the list). It should return "Not in stock".
</t>
    </r>
    <r>
      <rPr>
        <b/>
        <sz val="12"/>
        <color rgb="FF000000"/>
        <rFont val="Calibri"/>
        <scheme val="minor"/>
      </rPr>
      <t>Task 3.</t>
    </r>
    <r>
      <rPr>
        <sz val="12"/>
        <color rgb="FF000000"/>
        <rFont val="Calibri"/>
        <scheme val="minor"/>
      </rPr>
      <t xml:space="preserve"> Find which product costs ₹35. 
</t>
    </r>
    <r>
      <rPr>
        <b/>
        <sz val="12"/>
        <color rgb="FF000000"/>
        <rFont val="Calibri"/>
        <scheme val="minor"/>
      </rPr>
      <t>Task 4.</t>
    </r>
    <r>
      <rPr>
        <sz val="12"/>
        <color rgb="FF000000"/>
        <rFont val="Calibri"/>
        <scheme val="minor"/>
      </rPr>
      <t xml:space="preserve"> Find the category of "Chips".
</t>
    </r>
    <r>
      <rPr>
        <b/>
        <sz val="12"/>
        <color rgb="FF000000"/>
        <rFont val="Calibri"/>
        <scheme val="minor"/>
      </rPr>
      <t>Task 5. (Challenge)</t>
    </r>
    <r>
      <rPr>
        <sz val="12"/>
        <color rgb="FF000000"/>
        <rFont val="Calibri"/>
        <scheme val="minor"/>
      </rPr>
      <t xml:space="preserve"> Using a cell reference — if cell E1 contains a product name, write an XLOOKUP that returns its price. If the product isn't found, return "Check name".
</t>
    </r>
    <r>
      <rPr>
        <b/>
        <sz val="12"/>
        <color rgb="FF000000"/>
        <rFont val="Calibri"/>
        <scheme val="minor"/>
      </rPr>
      <t xml:space="preserve">Task 6. </t>
    </r>
    <r>
      <rPr>
        <sz val="12"/>
        <color rgb="FF000000"/>
        <rFont val="Calibri"/>
        <scheme val="minor"/>
      </rPr>
      <t xml:space="preserve">Use MATCH to find the position of "Juice" in column A. 
</t>
    </r>
    <r>
      <rPr>
        <b/>
        <sz val="12"/>
        <color rgb="FF000000"/>
        <rFont val="Calibri"/>
        <scheme val="minor"/>
      </rPr>
      <t>Task 7.</t>
    </r>
    <r>
      <rPr>
        <sz val="12"/>
        <color rgb="FF000000"/>
        <rFont val="Calibri"/>
        <scheme val="minor"/>
      </rPr>
      <t xml:space="preserve"> Use INDEX to return the 5th value in column B. 
</t>
    </r>
    <r>
      <rPr>
        <b/>
        <sz val="12"/>
        <color rgb="FF000000"/>
        <rFont val="Calibri"/>
        <scheme val="minor"/>
      </rPr>
      <t>Task 8.</t>
    </r>
    <r>
      <rPr>
        <sz val="12"/>
        <color rgb="FF000000"/>
        <rFont val="Calibri"/>
        <scheme val="minor"/>
      </rPr>
      <t xml:space="preserve"> Use INDEX + MATCH to find the price of "Biscuits". 
</t>
    </r>
    <r>
      <rPr>
        <b/>
        <sz val="12"/>
        <color rgb="FF000000"/>
        <rFont val="Calibri"/>
        <scheme val="minor"/>
      </rPr>
      <t>Task 9.</t>
    </r>
    <r>
      <rPr>
        <sz val="12"/>
        <color rgb="FF000000"/>
        <rFont val="Calibri"/>
        <scheme val="minor"/>
      </rPr>
      <t xml:space="preserve"> Use INDEX + MATCH to find which product costs ₹25. Task 
</t>
    </r>
    <r>
      <rPr>
        <b/>
        <sz val="12"/>
        <color rgb="FF000000"/>
        <rFont val="Calibri"/>
        <scheme val="minor"/>
      </rPr>
      <t>Task 10.</t>
    </r>
    <r>
      <rPr>
        <sz val="12"/>
        <color rgb="FF000000"/>
        <rFont val="Calibri"/>
        <scheme val="minor"/>
      </rPr>
      <t xml:space="preserve"> Use INDEX + MATCH to find the category of "Coke".
</t>
    </r>
    <r>
      <rPr>
        <b/>
        <sz val="12"/>
        <color rgb="FF000000"/>
        <rFont val="Calibri"/>
        <scheme val="minor"/>
      </rPr>
      <t>Task 11.</t>
    </r>
    <r>
      <rPr>
        <sz val="12"/>
        <color rgb="FF000000"/>
        <rFont val="Calibri"/>
        <scheme val="minor"/>
      </rPr>
      <t xml:space="preserve"> </t>
    </r>
    <r>
      <rPr>
        <b/>
        <sz val="12"/>
        <color rgb="FF000000"/>
        <rFont val="Calibri"/>
        <scheme val="minor"/>
      </rPr>
      <t>(Challenge)</t>
    </r>
    <r>
      <rPr>
        <sz val="12"/>
        <color rgb="FF000000"/>
        <rFont val="Calibri"/>
        <scheme val="minor"/>
      </rPr>
      <t xml:space="preserve"> You have a product name in cell E1. Write both:
            i. An XLOOKUP formula that returns its price
           ii. An INDEX+MATCH formula that returns its price
</t>
    </r>
  </si>
  <si>
    <t>Product</t>
  </si>
  <si>
    <t>Price</t>
  </si>
  <si>
    <t>Category</t>
  </si>
  <si>
    <t>Ans.1</t>
  </si>
  <si>
    <t>Stationery</t>
  </si>
  <si>
    <t>Ans.2</t>
  </si>
  <si>
    <t>Notebook</t>
  </si>
  <si>
    <t>Ans.3</t>
  </si>
  <si>
    <t>Coke</t>
  </si>
  <si>
    <t>Beverage</t>
  </si>
  <si>
    <t>Ans.4</t>
  </si>
  <si>
    <t>Chips</t>
  </si>
  <si>
    <t>Snacks</t>
  </si>
  <si>
    <t>Ans.5</t>
  </si>
  <si>
    <t>Water</t>
  </si>
  <si>
    <t>Marker</t>
  </si>
  <si>
    <t>MATCH and INDEX</t>
  </si>
  <si>
    <t>Juice</t>
  </si>
  <si>
    <t>Ans.6</t>
  </si>
  <si>
    <t>Biscuits</t>
  </si>
  <si>
    <t>Ans.7</t>
  </si>
  <si>
    <t>MATCH + INDEX</t>
  </si>
  <si>
    <t>Ans.8</t>
  </si>
  <si>
    <t>Ans.9</t>
  </si>
  <si>
    <t>Ans.10</t>
  </si>
  <si>
    <t>Mixed</t>
  </si>
  <si>
    <t>Ans.11 i)</t>
  </si>
  <si>
    <t>Ans.11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</si>
</sst>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color theme="1"/>
      <name val="Quote-Cjk-Patch"/>
      <charset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6"/>
      <color theme="1"/>
      <name val="Quote-Cjk-Patch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indent="2"/>
    </xf>
    <xf numFmtId="0" fontId="3" fillId="0" borderId="1" xfId="0" applyFont="1" applyBorder="1" applyAlignment="1">
      <alignment horizontal="center" vertical="center" indent="2"/>
    </xf>
    <xf numFmtId="0" fontId="4" fillId="0" borderId="1" xfId="0" applyFont="1" applyBorder="1" applyAlignment="1">
      <alignment horizontal="right" vertical="center" indent="2"/>
    </xf>
    <xf numFmtId="0" fontId="6" fillId="0" borderId="2" xfId="0" applyFont="1" applyBorder="1" applyAlignment="1">
      <alignment horizontal="left" wrapText="1" indent="2"/>
    </xf>
    <xf numFmtId="0" fontId="5" fillId="0" borderId="3" xfId="0" applyFont="1" applyBorder="1" applyAlignment="1">
      <alignment horizontal="left" indent="2"/>
    </xf>
    <xf numFmtId="0" fontId="5" fillId="0" borderId="4" xfId="0" applyFont="1" applyBorder="1" applyAlignment="1">
      <alignment horizontal="left" indent="2"/>
    </xf>
    <xf numFmtId="0" fontId="5" fillId="0" borderId="5" xfId="0" applyFont="1" applyBorder="1" applyAlignment="1">
      <alignment horizontal="left" indent="2"/>
    </xf>
    <xf numFmtId="0" fontId="5" fillId="0" borderId="0" xfId="0" applyFont="1" applyBorder="1" applyAlignment="1">
      <alignment horizontal="left" indent="2"/>
    </xf>
    <xf numFmtId="0" fontId="5" fillId="0" borderId="6" xfId="0" applyFont="1" applyBorder="1" applyAlignment="1">
      <alignment horizontal="left" indent="2"/>
    </xf>
    <xf numFmtId="0" fontId="5" fillId="0" borderId="7" xfId="0" applyFont="1" applyBorder="1" applyAlignment="1">
      <alignment horizontal="left" indent="2"/>
    </xf>
    <xf numFmtId="0" fontId="5" fillId="0" borderId="8" xfId="0" applyFont="1" applyBorder="1" applyAlignment="1">
      <alignment horizontal="left" indent="2"/>
    </xf>
    <xf numFmtId="0" fontId="5" fillId="0" borderId="9" xfId="0" applyFont="1" applyBorder="1" applyAlignment="1">
      <alignment horizontal="left" indent="2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G7" sqref="G7"/>
    </sheetView>
  </sheetViews>
  <sheetFormatPr defaultRowHeight="15"/>
  <cols>
    <col min="1" max="3" width="18.140625" customWidth="1"/>
    <col min="5" max="5" width="15.42578125" customWidth="1"/>
    <col min="6" max="6" width="12.28515625" customWidth="1"/>
    <col min="7" max="7" width="32.42578125" customWidth="1"/>
    <col min="8" max="8" width="12.5703125" customWidth="1"/>
    <col min="9" max="9" width="32.7109375" customWidth="1"/>
    <col min="11" max="11" width="12.42578125" customWidth="1"/>
    <col min="12" max="12" width="32.7109375" customWidth="1"/>
  </cols>
  <sheetData>
    <row r="1" spans="1:12" ht="24.75" customHeight="1">
      <c r="A1" s="1" t="s">
        <v>0</v>
      </c>
      <c r="B1" s="1" t="s">
        <v>1</v>
      </c>
      <c r="C1" s="1" t="s">
        <v>2</v>
      </c>
      <c r="E1" s="14" t="s">
        <v>3</v>
      </c>
      <c r="F1" s="3" t="s">
        <v>4</v>
      </c>
      <c r="G1" s="3" t="s">
        <v>5</v>
      </c>
      <c r="I1" s="5" t="s">
        <v>6</v>
      </c>
      <c r="J1" s="6"/>
      <c r="K1" s="6"/>
      <c r="L1" s="7"/>
    </row>
    <row r="2" spans="1:12" ht="24.75" customHeight="1">
      <c r="A2" s="1" t="s">
        <v>7</v>
      </c>
      <c r="B2" s="1" t="s">
        <v>8</v>
      </c>
      <c r="C2" s="1" t="s">
        <v>9</v>
      </c>
      <c r="F2" s="4" t="s">
        <v>10</v>
      </c>
      <c r="G2" s="2">
        <f>_xlfn.XLOOKUP("Marker",A3:A10,B3:B10)</f>
        <v>25</v>
      </c>
      <c r="I2" s="8"/>
      <c r="J2" s="9"/>
      <c r="K2" s="9"/>
      <c r="L2" s="10"/>
    </row>
    <row r="3" spans="1:12" ht="24.75" customHeight="1">
      <c r="A3" s="1" t="s">
        <v>3</v>
      </c>
      <c r="B3" s="1">
        <v>10</v>
      </c>
      <c r="C3" s="1" t="s">
        <v>11</v>
      </c>
      <c r="F3" s="4" t="s">
        <v>12</v>
      </c>
      <c r="G3" s="2" t="str">
        <f>_xlfn.XLOOKUP("Chocolate", A3:A10,B3:B10, "Not in Stock")</f>
        <v>Not in Stock</v>
      </c>
      <c r="I3" s="8"/>
      <c r="J3" s="9"/>
      <c r="K3" s="9"/>
      <c r="L3" s="10"/>
    </row>
    <row r="4" spans="1:12" ht="24.75" customHeight="1">
      <c r="A4" s="1" t="s">
        <v>13</v>
      </c>
      <c r="B4" s="1">
        <v>50</v>
      </c>
      <c r="C4" s="1" t="s">
        <v>11</v>
      </c>
      <c r="F4" s="4" t="s">
        <v>14</v>
      </c>
      <c r="G4" s="2" t="str">
        <f>_xlfn.XLOOKUP(35, B3:B10,A3:A10)</f>
        <v>Juice</v>
      </c>
      <c r="I4" s="8"/>
      <c r="J4" s="9"/>
      <c r="K4" s="9"/>
      <c r="L4" s="10"/>
    </row>
    <row r="5" spans="1:12" ht="24.75" customHeight="1">
      <c r="A5" s="1" t="s">
        <v>15</v>
      </c>
      <c r="B5" s="1">
        <v>20</v>
      </c>
      <c r="C5" s="1" t="s">
        <v>16</v>
      </c>
      <c r="F5" s="4" t="s">
        <v>17</v>
      </c>
      <c r="G5" s="2" t="str">
        <f>_xlfn.XLOOKUP("Chips", A3:A10,C3:C10)</f>
        <v>Snacks</v>
      </c>
      <c r="I5" s="8"/>
      <c r="J5" s="9"/>
      <c r="K5" s="9"/>
      <c r="L5" s="10"/>
    </row>
    <row r="6" spans="1:12" ht="24.75" customHeight="1">
      <c r="A6" s="1" t="s">
        <v>18</v>
      </c>
      <c r="B6" s="1">
        <v>30</v>
      </c>
      <c r="C6" s="1" t="s">
        <v>19</v>
      </c>
      <c r="F6" s="4" t="s">
        <v>20</v>
      </c>
      <c r="G6" s="2">
        <f>_xlfn.XLOOKUP(E1, A3:A10,B3:B10, "Check name")</f>
        <v>10</v>
      </c>
      <c r="I6" s="8"/>
      <c r="J6" s="9"/>
      <c r="K6" s="9"/>
      <c r="L6" s="10"/>
    </row>
    <row r="7" spans="1:12" ht="24.75" customHeight="1">
      <c r="A7" s="1" t="s">
        <v>21</v>
      </c>
      <c r="B7" s="1">
        <v>15</v>
      </c>
      <c r="C7" s="1" t="s">
        <v>16</v>
      </c>
      <c r="I7" s="8"/>
      <c r="J7" s="9"/>
      <c r="K7" s="9"/>
      <c r="L7" s="10"/>
    </row>
    <row r="8" spans="1:12" ht="24.75" customHeight="1">
      <c r="A8" s="1" t="s">
        <v>22</v>
      </c>
      <c r="B8" s="1">
        <v>25</v>
      </c>
      <c r="C8" s="1" t="s">
        <v>11</v>
      </c>
      <c r="F8" s="3" t="s">
        <v>4</v>
      </c>
      <c r="G8" s="3" t="s">
        <v>23</v>
      </c>
      <c r="I8" s="8"/>
      <c r="J8" s="9"/>
      <c r="K8" s="9"/>
      <c r="L8" s="10"/>
    </row>
    <row r="9" spans="1:12" ht="24.75" customHeight="1">
      <c r="A9" s="1" t="s">
        <v>24</v>
      </c>
      <c r="B9" s="1">
        <v>35</v>
      </c>
      <c r="C9" s="1" t="s">
        <v>16</v>
      </c>
      <c r="F9" s="4" t="s">
        <v>25</v>
      </c>
      <c r="G9" s="2">
        <f>MATCH("Juice", A3:A10, 0)</f>
        <v>7</v>
      </c>
      <c r="I9" s="8"/>
      <c r="J9" s="9"/>
      <c r="K9" s="9"/>
      <c r="L9" s="10"/>
    </row>
    <row r="10" spans="1:12" ht="24.75" customHeight="1">
      <c r="A10" s="1" t="s">
        <v>26</v>
      </c>
      <c r="B10" s="1">
        <v>12</v>
      </c>
      <c r="C10" s="1" t="s">
        <v>19</v>
      </c>
      <c r="F10" s="4" t="s">
        <v>27</v>
      </c>
      <c r="G10" s="2">
        <f>INDEX(B3:B10,5)</f>
        <v>15</v>
      </c>
      <c r="I10" s="8"/>
      <c r="J10" s="9"/>
      <c r="K10" s="9"/>
      <c r="L10" s="10"/>
    </row>
    <row r="11" spans="1:12" ht="52.5" customHeight="1">
      <c r="I11" s="8"/>
      <c r="J11" s="9"/>
      <c r="K11" s="9"/>
      <c r="L11" s="10"/>
    </row>
    <row r="12" spans="1:12">
      <c r="I12" s="8"/>
      <c r="J12" s="9"/>
      <c r="K12" s="9"/>
      <c r="L12" s="10"/>
    </row>
    <row r="13" spans="1:12" ht="21">
      <c r="F13" s="3" t="s">
        <v>4</v>
      </c>
      <c r="G13" s="3" t="s">
        <v>28</v>
      </c>
      <c r="I13" s="8"/>
      <c r="J13" s="9"/>
      <c r="K13" s="9"/>
      <c r="L13" s="10"/>
    </row>
    <row r="14" spans="1:12" ht="21">
      <c r="F14" s="4" t="s">
        <v>29</v>
      </c>
      <c r="G14" s="2">
        <f>INDEX(B3:B10, MATCH("Biscuits", A3:A10, 0))</f>
        <v>12</v>
      </c>
      <c r="I14" s="8"/>
      <c r="J14" s="9"/>
      <c r="K14" s="9"/>
      <c r="L14" s="10"/>
    </row>
    <row r="15" spans="1:12" ht="21">
      <c r="F15" s="4" t="s">
        <v>30</v>
      </c>
      <c r="G15" s="2" t="str">
        <f>INDEX(A3:A10, MATCH(25, B3:B10, 0))</f>
        <v>Marker</v>
      </c>
      <c r="I15" s="8"/>
      <c r="J15" s="9"/>
      <c r="K15" s="9"/>
      <c r="L15" s="10"/>
    </row>
    <row r="16" spans="1:12" ht="21">
      <c r="F16" s="4" t="s">
        <v>31</v>
      </c>
      <c r="G16" s="2" t="str">
        <f>INDEX(C3:C10, MATCH("Coke", A3:A10, 0))</f>
        <v>Beverage</v>
      </c>
      <c r="I16" s="11"/>
      <c r="J16" s="12"/>
      <c r="K16" s="12"/>
      <c r="L16" s="13"/>
    </row>
    <row r="18" spans="6:7" ht="21">
      <c r="F18" s="3" t="s">
        <v>4</v>
      </c>
      <c r="G18" s="3" t="s">
        <v>32</v>
      </c>
    </row>
    <row r="19" spans="6:7" ht="21">
      <c r="F19" s="4" t="s">
        <v>33</v>
      </c>
      <c r="G19" s="2">
        <f>_xlfn.XLOOKUP(E1, A3:A10, B3:B10)</f>
        <v>10</v>
      </c>
    </row>
    <row r="20" spans="6:7" ht="21">
      <c r="F20" s="4" t="s">
        <v>34</v>
      </c>
      <c r="G20" s="2">
        <f>INDEX(B3:B10, MATCH(E1, A3:A10, 0))</f>
        <v>10</v>
      </c>
    </row>
  </sheetData>
  <mergeCells count="1">
    <mergeCell ref="I1:L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2026-09-17T06:04:28Z</dcterms:created>
  <dcterms:modified xsi:type="dcterms:W3CDTF">2026-09-17T09:19:51Z</dcterms:modified>
  <cp:category/>
  <cp:contentStatus/>
</cp:coreProperties>
</file>