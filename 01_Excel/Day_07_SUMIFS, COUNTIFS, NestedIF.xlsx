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hidePivotFieldList="1" defaultThemeVersion="166925"/>
  <xr:revisionPtr revIDLastSave="290" documentId="11_E60897F41BE170836B02CE998F75CCDC64E183C8" xr6:coauthVersionLast="47" xr6:coauthVersionMax="47" xr10:uidLastSave="{1872BAB4-0FC6-4EDA-A969-70BB4059A102}"/>
  <bookViews>
    <workbookView xWindow="240" yWindow="105" windowWidth="14805" windowHeight="8010" firstSheet="1" activeTab="1" xr2:uid="{00000000-000D-0000-FFFF-FFFF00000000}"/>
  </bookViews>
  <sheets>
    <sheet name="Advanced Functions" sheetId="1" r:id="rId1"/>
    <sheet name="Consolidation" sheetId="2" r:id="rId2"/>
  </sheets>
  <calcPr calcId="191028"/>
  <pivotCaches>
    <pivotCache cacheId="356" r:id="rId3"/>
    <pivotCache cacheId="36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0" i="2" l="1" a="1"/>
  <c r="S10" i="2"/>
  <c r="S9" i="2"/>
  <c r="S3" i="2"/>
  <c r="S6" i="2"/>
  <c r="P9" i="2"/>
  <c r="P8" i="2"/>
  <c r="P5" i="2"/>
  <c r="P4" i="2"/>
  <c r="P3" i="2"/>
  <c r="R2" i="1"/>
  <c r="Z3" i="1"/>
  <c r="Z4" i="1"/>
  <c r="Z5" i="1"/>
  <c r="Z6" i="1"/>
  <c r="Z7" i="1"/>
  <c r="Z8" i="1"/>
  <c r="Z9" i="1"/>
  <c r="Z10" i="1"/>
  <c r="Z11" i="1"/>
  <c r="Z2" i="1"/>
  <c r="R3" i="1" a="1"/>
  <c r="R3" i="1"/>
  <c r="O7" i="1"/>
  <c r="O6" i="1"/>
  <c r="O3" i="1"/>
  <c r="O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<sst xmlns="http://schemas.openxmlformats.org/spreadsheetml/2006/main" count="66" uniqueCount="35">
  <si>
    <t>Product</t>
  </si>
  <si>
    <t>Category</t>
  </si>
  <si>
    <t>Quantity</t>
  </si>
  <si>
    <t xml:space="preserve">
Task 1 — SUMIFS Find the total quantity of Stationery.
Task 2 — SUMIFS Find the total quantity where Category = Beverage AND Quantity &gt; 5.
Task 3 — COUNTIFS Count how many products are in Snacks category.
Task 4 — COUNTIFS Count how many products have Quantity ≥ 5.
Task 5 — Nested IF Create a column Status where:
Quantity ≥ 10 → "Bulk"
Quantity ≥ 5 → "Regular"
Quantity &lt; 5 → "Small"
Task 6 — IFS version Do Task 5 using IFS instead of nested IF.
Task 7 — Pivot with Grouped Date
Create a small dataset with 10 rows of sales with dates in September 2026 and amounts. Build a Pivot grouped by Month.
</t>
  </si>
  <si>
    <t>SUMIFS</t>
  </si>
  <si>
    <t>Nested IF</t>
  </si>
  <si>
    <t>Pivot with Grouped Date</t>
  </si>
  <si>
    <t>Date</t>
  </si>
  <si>
    <t>Amount</t>
  </si>
  <si>
    <t>Month</t>
  </si>
  <si>
    <t>Pen</t>
  </si>
  <si>
    <t>Stationery</t>
  </si>
  <si>
    <t>Sum of Amount</t>
  </si>
  <si>
    <t>Coke</t>
  </si>
  <si>
    <t>Beverage</t>
  </si>
  <si>
    <t>Sep 2026</t>
  </si>
  <si>
    <t>Notebook</t>
  </si>
  <si>
    <t>Grand Total</t>
  </si>
  <si>
    <t>Chips</t>
  </si>
  <si>
    <t>Snacks</t>
  </si>
  <si>
    <t>COUNTIFS</t>
  </si>
  <si>
    <t>Water</t>
  </si>
  <si>
    <t>Marker</t>
  </si>
  <si>
    <t>Chocolate</t>
  </si>
  <si>
    <t>Juice</t>
  </si>
  <si>
    <t>Price</t>
  </si>
  <si>
    <t>Task 1. Find the price of "Chocolate".
Task 2. Find which product costs ₹35.
Task 3. Find the category of "Chips" (but return "Unknown" if not found).
Task 4. Find the price of "Marker" using INDEX + MATCH.
Task 5. Find the quantity of "Biscuits" using INDEX + MATCH.
Task 6. Find the total quantity of Stationery products.
Task 7. Count how many products cost more than ₹20.
Task 8. Create a new column Stock Level:
Quantity ≥ 10 → "High"
Quantity ≥ 5 → "Medium"
Quantity &lt; 5 → "Low"
Use nested IF.
Task 9. Do the same using IFS.
Task 10. Build a Pivot Table showing:
Rows: Category
Values: Sum of Quantity
Filter: Only categories where Sum of Quantity &gt; 20 (using Value Filter)</t>
  </si>
  <si>
    <t>XLOOKUP</t>
  </si>
  <si>
    <t>Pivt Table</t>
  </si>
  <si>
    <t>Sum of Quantity</t>
  </si>
  <si>
    <t>CUNTIFS</t>
  </si>
  <si>
    <t>INDEX + MATCH</t>
  </si>
  <si>
    <t>IF &amp; IFS</t>
  </si>
  <si>
    <t>Biscuits</t>
  </si>
  <si>
    <t>Eraser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</si>
</sst>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7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charset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0" fillId="0" borderId="2" xfId="0" pivotButton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0" fontId="0" fillId="0" borderId="0" xfId="0" applyBorder="1" applyAlignment="1">
      <alignment horizontal="left" vertical="center" wrapText="1" indent="1"/>
    </xf>
    <xf numFmtId="0" fontId="0" fillId="0" borderId="7" xfId="0" applyBorder="1" applyAlignment="1">
      <alignment horizontal="left" vertical="center" wrapText="1" indent="1"/>
    </xf>
    <xf numFmtId="0" fontId="0" fillId="0" borderId="8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wrapText="1" indent="1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 indent="1" readingOrder="1"/>
    </xf>
    <xf numFmtId="0" fontId="2" fillId="0" borderId="4" xfId="0" applyFont="1" applyBorder="1" applyAlignment="1">
      <alignment horizontal="left" vertical="top" indent="1" readingOrder="1"/>
    </xf>
    <xf numFmtId="0" fontId="2" fillId="0" borderId="5" xfId="0" applyFont="1" applyBorder="1" applyAlignment="1">
      <alignment horizontal="left" vertical="top" indent="1" readingOrder="1"/>
    </xf>
    <xf numFmtId="0" fontId="2" fillId="0" borderId="6" xfId="0" applyFont="1" applyBorder="1" applyAlignment="1">
      <alignment horizontal="left" vertical="top" indent="1" readingOrder="1"/>
    </xf>
    <xf numFmtId="0" fontId="2" fillId="0" borderId="0" xfId="0" applyFont="1" applyBorder="1" applyAlignment="1">
      <alignment horizontal="left" vertical="top" indent="1" readingOrder="1"/>
    </xf>
    <xf numFmtId="0" fontId="2" fillId="0" borderId="7" xfId="0" applyFont="1" applyBorder="1" applyAlignment="1">
      <alignment horizontal="left" vertical="top" indent="1" readingOrder="1"/>
    </xf>
    <xf numFmtId="0" fontId="2" fillId="0" borderId="8" xfId="0" applyFont="1" applyBorder="1" applyAlignment="1">
      <alignment horizontal="left" vertical="top" indent="1" readingOrder="1"/>
    </xf>
    <xf numFmtId="0" fontId="2" fillId="0" borderId="1" xfId="0" applyFont="1" applyBorder="1" applyAlignment="1">
      <alignment horizontal="left" vertical="top" indent="1" readingOrder="1"/>
    </xf>
    <xf numFmtId="0" fontId="2" fillId="0" borderId="9" xfId="0" applyFont="1" applyBorder="1" applyAlignment="1">
      <alignment horizontal="left" vertical="top" indent="1" readingOrder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37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9.540215046298" createdVersion="8" refreshedVersion="8" minRefreshableVersion="3" recordCount="10" xr:uid="{E5C94112-37A3-4753-ACF6-01DACE893B44}">
  <cacheSource type="worksheet">
    <worksheetSource ref="X1:Z11" sheet="Advanced Functions"/>
  </cacheSource>
  <cacheFields count="3">
    <cacheField name="Date" numFmtId="14">
      <sharedItems containsSemiMixedTypes="0" containsNonDate="0" containsDate="1" containsString="0" minDate="2026-09-01T00:00:00" maxDate="2026-09-11T00:00:00"/>
    </cacheField>
    <cacheField name="Amount" numFmtId="164">
      <sharedItems containsSemiMixedTypes="0" containsString="0" containsNumber="1" containsInteger="1" minValue="500" maxValue="2200"/>
    </cacheField>
    <cacheField name="Month" numFmtId="164">
      <sharedItems count="1">
        <s v="Sep 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0.741436458331" createdVersion="8" refreshedVersion="8" minRefreshableVersion="3" recordCount="10" xr:uid="{F7F2437A-5D99-469C-8453-EBD2949F401F}">
  <cacheSource type="worksheet">
    <worksheetSource ref="A1:D11" sheet="Consolidation"/>
  </cacheSource>
  <cacheFields count="4">
    <cacheField name="Product" numFmtId="0">
      <sharedItems/>
    </cacheField>
    <cacheField name="Category" numFmtId="0">
      <sharedItems count="3">
        <s v="Stationery"/>
        <s v="Beverage"/>
        <s v="Snacks"/>
      </sharedItems>
    </cacheField>
    <cacheField name="Price" numFmtId="0">
      <sharedItems containsSemiMixedTypes="0" containsString="0" containsNumber="1" containsInteger="1" minValue="5" maxValue="50"/>
    </cacheField>
    <cacheField name="Quantity" numFmtId="0">
      <sharedItems containsSemiMixedTypes="0" containsString="0" containsNumber="1" containsInteger="1" minValue="2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9-01T00:00:00"/>
    <n v="1200"/>
    <x v="0"/>
  </r>
  <r>
    <d v="2026-09-02T00:00:00"/>
    <n v="870"/>
    <x v="0"/>
  </r>
  <r>
    <d v="2026-09-03T00:00:00"/>
    <n v="2000"/>
    <x v="0"/>
  </r>
  <r>
    <d v="2026-09-04T00:00:00"/>
    <n v="500"/>
    <x v="0"/>
  </r>
  <r>
    <d v="2026-09-05T00:00:00"/>
    <n v="1400"/>
    <x v="0"/>
  </r>
  <r>
    <d v="2026-09-06T00:00:00"/>
    <n v="2200"/>
    <x v="0"/>
  </r>
  <r>
    <d v="2026-09-07T00:00:00"/>
    <n v="1100"/>
    <x v="0"/>
  </r>
  <r>
    <d v="2026-09-08T00:00:00"/>
    <n v="1050"/>
    <x v="0"/>
  </r>
  <r>
    <d v="2026-09-09T00:00:00"/>
    <n v="750"/>
    <x v="0"/>
  </r>
  <r>
    <d v="2026-09-10T00:00:00"/>
    <n v="160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Pen"/>
    <x v="0"/>
    <n v="10"/>
    <n v="5"/>
  </r>
  <r>
    <s v="Notebook"/>
    <x v="0"/>
    <n v="50"/>
    <n v="12"/>
  </r>
  <r>
    <s v="Coke"/>
    <x v="1"/>
    <n v="20"/>
    <n v="3"/>
  </r>
  <r>
    <s v="Chips"/>
    <x v="2"/>
    <n v="30"/>
    <n v="2"/>
  </r>
  <r>
    <s v="Water"/>
    <x v="1"/>
    <n v="15"/>
    <n v="8"/>
  </r>
  <r>
    <s v="Chocolate"/>
    <x v="2"/>
    <n v="45"/>
    <n v="6"/>
  </r>
  <r>
    <s v="Marker"/>
    <x v="0"/>
    <n v="25"/>
    <n v="15"/>
  </r>
  <r>
    <s v="Juice"/>
    <x v="1"/>
    <n v="35"/>
    <n v="4"/>
  </r>
  <r>
    <s v="Biscuits"/>
    <x v="2"/>
    <n v="12"/>
    <n v="10"/>
  </r>
  <r>
    <s v="Eraser"/>
    <x v="0"/>
    <n v="5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DF144-DE01-440D-B512-8A1D3A19956E}" name="PivotTable4" cacheId="3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2:V4" firstHeaderRow="1" firstDataRow="1" firstDataCol="1"/>
  <pivotFields count="3">
    <pivotField compact="0" numFmtId="14" outline="0" showAll="0"/>
    <pivotField dataField="1" compact="0" numFmtId="164" outline="0" showAll="0"/>
    <pivotField axis="axisRow" compact="0" outline="0" showAll="0">
      <items count="2">
        <item x="0"/>
        <item t="default"/>
      </items>
    </pivotField>
  </pivotFields>
  <rowFields count="1">
    <field x="2"/>
  </rowFields>
  <rowItems count="2">
    <i>
      <x/>
    </i>
    <i t="grand">
      <x/>
    </i>
  </rowItems>
  <colItems count="1">
    <i/>
  </colItems>
  <dataFields count="1">
    <dataField name="Sum of Amount" fld="1" baseField="0" baseItem="0" numFmtId="164"/>
  </dataFields>
  <formats count="18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2" type="button" dataOnly="0" labelOnly="1" outline="0" axis="axisRow" fieldPosition="0"/>
    </format>
    <format dxfId="22">
      <pivotArea dataOnly="0" labelOnly="1" outline="0" fieldPosition="0">
        <references count="1">
          <reference field="2" count="0"/>
        </references>
      </pivotArea>
    </format>
    <format dxfId="23">
      <pivotArea dataOnly="0" labelOnly="1" grandRow="1" outline="0" fieldPosition="0"/>
    </format>
    <format dxfId="24">
      <pivotArea dataOnly="0" labelOnly="1" outline="0" axis="axisValues" fieldPosition="0"/>
    </format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2" type="button" dataOnly="0" labelOnly="1" outline="0" axis="axisRow" fieldPosition="0"/>
    </format>
    <format dxfId="28">
      <pivotArea dataOnly="0" labelOnly="1" outline="0" fieldPosition="0">
        <references count="1">
          <reference field="2" count="0"/>
        </references>
      </pivotArea>
    </format>
    <format dxfId="29">
      <pivotArea dataOnly="0" labelOnly="1" grandRow="1" outline="0" fieldPosition="0"/>
    </format>
    <format dxfId="30">
      <pivotArea dataOnly="0" labelOnly="1" outline="0" axis="axisValues" fieldPosition="0"/>
    </format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2" type="button" dataOnly="0" labelOnly="1" outline="0" axis="axisRow" fieldPosition="0"/>
    </format>
    <format dxfId="34">
      <pivotArea dataOnly="0" labelOnly="1" outline="0" fieldPosition="0">
        <references count="1">
          <reference field="2" count="0"/>
        </references>
      </pivotArea>
    </format>
    <format dxfId="35">
      <pivotArea dataOnly="0" labelOnly="1" grandRow="1" outline="0" fieldPosition="0"/>
    </format>
    <format dxfId="36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C2616-38EC-4696-9BBD-A70DF009C29A}" name="PivotTable1" cacheId="3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V3:W5" firstHeaderRow="1" firstDataRow="1" firstDataCol="1"/>
  <pivotFields count="4">
    <pivotField compact="0" outline="0" showAll="0"/>
    <pivotField axis="axisRow" compact="0" outline="0" showAll="0" measureFilter="1">
      <items count="4">
        <item x="1"/>
        <item x="2"/>
        <item x="0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2">
    <i>
      <x v="2"/>
    </i>
    <i t="grand">
      <x/>
    </i>
  </rowItems>
  <colItems count="1">
    <i/>
  </colItems>
  <dataFields count="1">
    <dataField name="Sum of Quantity" fld="3" baseField="0" baseItem="0"/>
  </dataFields>
  <formats count="19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1" count="1">
            <x v="2"/>
          </reference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1" type="button" dataOnly="0" labelOnly="1" outline="0" axis="axisRow" fieldPosition="0"/>
    </format>
    <format dxfId="9">
      <pivotArea dataOnly="0" labelOnly="1" outline="0" fieldPosition="0">
        <references count="1">
          <reference field="1" count="1">
            <x v="2"/>
          </reference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1" type="button" dataOnly="0" labelOnly="1" outline="0" axis="axisRow" fieldPosition="0"/>
    </format>
    <format dxfId="15">
      <pivotArea dataOnly="0" labelOnly="1" outline="0" fieldPosition="0">
        <references count="1">
          <reference field="1" count="1">
            <x v="2"/>
          </reference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  <format dxfId="18">
      <pivotArea dataOnly="0" labelOnly="1" outline="0" fieldPosition="0">
        <references count="1">
          <reference field="1" count="1">
            <x v="2"/>
          </reference>
        </references>
      </pivotArea>
    </format>
  </formats>
  <pivotTableStyleInfo name="PivotStyleMedium9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workbookViewId="0">
      <selection activeCell="Q7" sqref="Q7"/>
    </sheetView>
  </sheetViews>
  <sheetFormatPr defaultRowHeight="15" outlineLevelRow="1" outlineLevelCol="1"/>
  <cols>
    <col min="1" max="3" width="16.140625" customWidth="1"/>
    <col min="21" max="21" width="11.7109375" customWidth="1" outlineLevel="1"/>
    <col min="22" max="22" width="15.28515625" bestFit="1" customWidth="1"/>
    <col min="24" max="24" width="16.140625" customWidth="1"/>
    <col min="25" max="25" width="13.28515625" customWidth="1"/>
    <col min="26" max="26" width="14.7109375" customWidth="1"/>
  </cols>
  <sheetData>
    <row r="1" spans="1:26" ht="29.25" customHeight="1">
      <c r="A1" s="1" t="s">
        <v>0</v>
      </c>
      <c r="B1" s="1" t="s">
        <v>1</v>
      </c>
      <c r="C1" s="1" t="s">
        <v>2</v>
      </c>
      <c r="E1" s="24" t="s">
        <v>3</v>
      </c>
      <c r="F1" s="25"/>
      <c r="G1" s="25"/>
      <c r="H1" s="25"/>
      <c r="I1" s="25"/>
      <c r="J1" s="25"/>
      <c r="K1" s="25"/>
      <c r="L1" s="25"/>
      <c r="M1" s="26"/>
      <c r="O1" s="10" t="s">
        <v>4</v>
      </c>
      <c r="P1" s="11"/>
      <c r="R1" s="33" t="s">
        <v>5</v>
      </c>
      <c r="S1" s="34"/>
      <c r="U1" s="23" t="s">
        <v>6</v>
      </c>
      <c r="V1" s="11"/>
      <c r="X1" s="2" t="s">
        <v>7</v>
      </c>
      <c r="Y1" s="3" t="s">
        <v>8</v>
      </c>
      <c r="Z1" s="3" t="s">
        <v>9</v>
      </c>
    </row>
    <row r="2" spans="1:26" ht="29.25" customHeight="1" outlineLevel="1">
      <c r="A2" s="1" t="s">
        <v>10</v>
      </c>
      <c r="B2" s="1" t="s">
        <v>11</v>
      </c>
      <c r="C2" s="1">
        <v>5</v>
      </c>
      <c r="E2" s="27"/>
      <c r="F2" s="28"/>
      <c r="G2" s="28"/>
      <c r="H2" s="28"/>
      <c r="I2" s="28"/>
      <c r="J2" s="28"/>
      <c r="K2" s="28"/>
      <c r="L2" s="28"/>
      <c r="M2" s="29"/>
      <c r="O2" s="12">
        <f>SUMIFS(C2:C9, B2:B9, "Stationery")</f>
        <v>32</v>
      </c>
      <c r="P2" s="13"/>
      <c r="R2" s="12" t="str">
        <f>IF(C2&gt;=10, "Bulk", IF(C2&gt;=5, "Regular", "Small"))</f>
        <v>Regular</v>
      </c>
      <c r="S2" s="13"/>
      <c r="U2" s="7" t="s">
        <v>9</v>
      </c>
      <c r="V2" s="8" t="s">
        <v>12</v>
      </c>
      <c r="X2" s="5">
        <v>46266</v>
      </c>
      <c r="Y2" s="4">
        <v>1200</v>
      </c>
      <c r="Z2" s="4" t="str">
        <f>TEXT(X2, "MMM YYYY")</f>
        <v>Sep 2026</v>
      </c>
    </row>
    <row r="3" spans="1:26" ht="29.25" customHeight="1">
      <c r="A3" s="1" t="s">
        <v>13</v>
      </c>
      <c r="B3" s="1" t="s">
        <v>14</v>
      </c>
      <c r="C3" s="1">
        <v>3</v>
      </c>
      <c r="E3" s="27"/>
      <c r="F3" s="28"/>
      <c r="G3" s="28"/>
      <c r="H3" s="28"/>
      <c r="I3" s="28"/>
      <c r="J3" s="28"/>
      <c r="K3" s="28"/>
      <c r="L3" s="28"/>
      <c r="M3" s="29"/>
      <c r="O3" s="12">
        <f>SUMIFS(C2:C9, B2:B9, "Beverage", C2:C9, "&gt;5")</f>
        <v>8</v>
      </c>
      <c r="P3" s="13"/>
      <c r="R3" s="12" t="str" cm="1">
        <f t="array" ref="R3">_xlfn.IFS(C1&gt;=10, "Bulk", C1&gt;=5, "Regular", C1&lt;5, "Small")</f>
        <v>Bulk</v>
      </c>
      <c r="S3" s="13"/>
      <c r="U3" s="8" t="s">
        <v>15</v>
      </c>
      <c r="V3" s="9">
        <v>12670</v>
      </c>
      <c r="X3" s="6">
        <v>46267</v>
      </c>
      <c r="Y3" s="4">
        <v>870</v>
      </c>
      <c r="Z3" s="4" t="str">
        <f t="shared" ref="Z3:Z11" si="0">TEXT(X3, "MMM YYYY")</f>
        <v>Sep 2026</v>
      </c>
    </row>
    <row r="4" spans="1:26" ht="29.25" customHeight="1">
      <c r="A4" s="1" t="s">
        <v>16</v>
      </c>
      <c r="B4" s="1" t="s">
        <v>11</v>
      </c>
      <c r="C4" s="1">
        <v>12</v>
      </c>
      <c r="E4" s="27"/>
      <c r="F4" s="28"/>
      <c r="G4" s="28"/>
      <c r="H4" s="28"/>
      <c r="I4" s="28"/>
      <c r="J4" s="28"/>
      <c r="K4" s="28"/>
      <c r="L4" s="28"/>
      <c r="M4" s="29"/>
      <c r="U4" s="8" t="s">
        <v>17</v>
      </c>
      <c r="V4" s="9">
        <v>12670</v>
      </c>
      <c r="X4" s="6">
        <v>46268</v>
      </c>
      <c r="Y4" s="4">
        <v>2000</v>
      </c>
      <c r="Z4" s="4" t="str">
        <f t="shared" si="0"/>
        <v>Sep 2026</v>
      </c>
    </row>
    <row r="5" spans="1:26" ht="29.25" customHeight="1">
      <c r="A5" s="1" t="s">
        <v>18</v>
      </c>
      <c r="B5" s="1" t="s">
        <v>19</v>
      </c>
      <c r="C5" s="1">
        <v>2</v>
      </c>
      <c r="E5" s="27"/>
      <c r="F5" s="28"/>
      <c r="G5" s="28"/>
      <c r="H5" s="28"/>
      <c r="I5" s="28"/>
      <c r="J5" s="28"/>
      <c r="K5" s="28"/>
      <c r="L5" s="28"/>
      <c r="M5" s="29"/>
      <c r="O5" s="33" t="s">
        <v>20</v>
      </c>
      <c r="P5" s="34"/>
      <c r="X5" s="6">
        <v>46269</v>
      </c>
      <c r="Y5" s="4">
        <v>500</v>
      </c>
      <c r="Z5" s="4" t="str">
        <f t="shared" si="0"/>
        <v>Sep 2026</v>
      </c>
    </row>
    <row r="6" spans="1:26" ht="29.25" customHeight="1">
      <c r="A6" s="1" t="s">
        <v>21</v>
      </c>
      <c r="B6" s="1" t="s">
        <v>14</v>
      </c>
      <c r="C6" s="1">
        <v>8</v>
      </c>
      <c r="E6" s="27"/>
      <c r="F6" s="28"/>
      <c r="G6" s="28"/>
      <c r="H6" s="28"/>
      <c r="I6" s="28"/>
      <c r="J6" s="28"/>
      <c r="K6" s="28"/>
      <c r="L6" s="28"/>
      <c r="M6" s="29"/>
      <c r="O6" s="12">
        <f>COUNTIFS(B2:B9, "Snacks")</f>
        <v>2</v>
      </c>
      <c r="P6" s="13"/>
      <c r="X6" s="6">
        <v>46270</v>
      </c>
      <c r="Y6" s="4">
        <v>1400</v>
      </c>
      <c r="Z6" s="4" t="str">
        <f t="shared" si="0"/>
        <v>Sep 2026</v>
      </c>
    </row>
    <row r="7" spans="1:26" ht="29.25" customHeight="1">
      <c r="A7" s="1" t="s">
        <v>22</v>
      </c>
      <c r="B7" s="1" t="s">
        <v>11</v>
      </c>
      <c r="C7" s="1">
        <v>15</v>
      </c>
      <c r="E7" s="27"/>
      <c r="F7" s="28"/>
      <c r="G7" s="28"/>
      <c r="H7" s="28"/>
      <c r="I7" s="28"/>
      <c r="J7" s="28"/>
      <c r="K7" s="28"/>
      <c r="L7" s="28"/>
      <c r="M7" s="29"/>
      <c r="O7" s="12">
        <f>COUNTIFS( C2:C9, "&gt;5")</f>
        <v>4</v>
      </c>
      <c r="P7" s="13"/>
      <c r="X7" s="6">
        <v>46271</v>
      </c>
      <c r="Y7" s="4">
        <v>2200</v>
      </c>
      <c r="Z7" s="4" t="str">
        <f t="shared" si="0"/>
        <v>Sep 2026</v>
      </c>
    </row>
    <row r="8" spans="1:26" ht="29.25" customHeight="1">
      <c r="A8" s="1" t="s">
        <v>23</v>
      </c>
      <c r="B8" s="1" t="s">
        <v>19</v>
      </c>
      <c r="C8" s="1">
        <v>6</v>
      </c>
      <c r="E8" s="27"/>
      <c r="F8" s="28"/>
      <c r="G8" s="28"/>
      <c r="H8" s="28"/>
      <c r="I8" s="28"/>
      <c r="J8" s="28"/>
      <c r="K8" s="28"/>
      <c r="L8" s="28"/>
      <c r="M8" s="29"/>
      <c r="X8" s="6">
        <v>46272</v>
      </c>
      <c r="Y8" s="4">
        <v>1100</v>
      </c>
      <c r="Z8" s="4" t="str">
        <f t="shared" si="0"/>
        <v>Sep 2026</v>
      </c>
    </row>
    <row r="9" spans="1:26" ht="30.75" customHeight="1">
      <c r="A9" s="1" t="s">
        <v>24</v>
      </c>
      <c r="B9" s="1" t="s">
        <v>14</v>
      </c>
      <c r="C9" s="1">
        <v>4</v>
      </c>
      <c r="E9" s="30"/>
      <c r="F9" s="31"/>
      <c r="G9" s="31"/>
      <c r="H9" s="31"/>
      <c r="I9" s="31"/>
      <c r="J9" s="31"/>
      <c r="K9" s="31"/>
      <c r="L9" s="31"/>
      <c r="M9" s="32"/>
      <c r="X9" s="6">
        <v>46273</v>
      </c>
      <c r="Y9" s="4">
        <v>1050</v>
      </c>
      <c r="Z9" s="4" t="str">
        <f t="shared" si="0"/>
        <v>Sep 2026</v>
      </c>
    </row>
    <row r="10" spans="1:26" ht="30.75" customHeight="1">
      <c r="X10" s="6">
        <v>46274</v>
      </c>
      <c r="Y10" s="4">
        <v>750</v>
      </c>
      <c r="Z10" s="4" t="str">
        <f t="shared" si="0"/>
        <v>Sep 2026</v>
      </c>
    </row>
    <row r="11" spans="1:26" ht="31.5" customHeight="1">
      <c r="X11" s="6">
        <v>46275</v>
      </c>
      <c r="Y11" s="4">
        <v>1600</v>
      </c>
      <c r="Z11" s="4" t="str">
        <f t="shared" si="0"/>
        <v>Sep 2026</v>
      </c>
    </row>
    <row r="12" spans="1:26" ht="27.75" customHeight="1"/>
    <row r="13" spans="1:26" ht="27.75" customHeight="1"/>
  </sheetData>
  <mergeCells count="11">
    <mergeCell ref="E1:M9"/>
    <mergeCell ref="O1:P1"/>
    <mergeCell ref="O5:P5"/>
    <mergeCell ref="R1:S1"/>
    <mergeCell ref="U1:V1"/>
    <mergeCell ref="O2:P2"/>
    <mergeCell ref="O3:P3"/>
    <mergeCell ref="O6:P6"/>
    <mergeCell ref="O7:P7"/>
    <mergeCell ref="R2:S2"/>
    <mergeCell ref="R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9B5B-4DA3-41F7-A33E-FB0F3D5B90A9}">
  <dimension ref="A1:W17"/>
  <sheetViews>
    <sheetView tabSelected="1" topLeftCell="E1" workbookViewId="0">
      <selection activeCell="V7" sqref="V7"/>
    </sheetView>
  </sheetViews>
  <sheetFormatPr defaultRowHeight="15"/>
  <cols>
    <col min="1" max="4" width="16.5703125" customWidth="1"/>
    <col min="16" max="17" width="11.5703125" customWidth="1"/>
    <col min="22" max="22" width="15.5703125" customWidth="1"/>
    <col min="23" max="23" width="15.85546875" bestFit="1" customWidth="1"/>
  </cols>
  <sheetData>
    <row r="1" spans="1:23" ht="29.25" customHeight="1">
      <c r="A1" s="1" t="s">
        <v>0</v>
      </c>
      <c r="B1" s="1" t="s">
        <v>1</v>
      </c>
      <c r="C1" s="1" t="s">
        <v>25</v>
      </c>
      <c r="D1" s="1" t="s">
        <v>2</v>
      </c>
      <c r="F1" s="14" t="s">
        <v>26</v>
      </c>
      <c r="G1" s="15"/>
      <c r="H1" s="15"/>
      <c r="I1" s="15"/>
      <c r="J1" s="15"/>
      <c r="K1" s="15"/>
      <c r="L1" s="15"/>
      <c r="M1" s="15"/>
      <c r="N1" s="16"/>
    </row>
    <row r="2" spans="1:23" ht="29.25" customHeight="1">
      <c r="A2" s="1" t="s">
        <v>10</v>
      </c>
      <c r="B2" s="1" t="s">
        <v>11</v>
      </c>
      <c r="C2" s="1">
        <v>10</v>
      </c>
      <c r="D2" s="1">
        <v>5</v>
      </c>
      <c r="F2" s="17"/>
      <c r="G2" s="18"/>
      <c r="H2" s="18"/>
      <c r="I2" s="18"/>
      <c r="J2" s="18"/>
      <c r="K2" s="18"/>
      <c r="L2" s="18"/>
      <c r="M2" s="18"/>
      <c r="N2" s="19"/>
      <c r="P2" s="10" t="s">
        <v>27</v>
      </c>
      <c r="Q2" s="11"/>
      <c r="S2" s="10" t="s">
        <v>4</v>
      </c>
      <c r="T2" s="11"/>
      <c r="V2" s="10" t="s">
        <v>28</v>
      </c>
      <c r="W2" s="11"/>
    </row>
    <row r="3" spans="1:23" ht="29.25" customHeight="1">
      <c r="A3" s="1" t="s">
        <v>16</v>
      </c>
      <c r="B3" s="1" t="s">
        <v>11</v>
      </c>
      <c r="C3" s="1">
        <v>50</v>
      </c>
      <c r="D3" s="1">
        <v>12</v>
      </c>
      <c r="F3" s="17"/>
      <c r="G3" s="18"/>
      <c r="H3" s="18"/>
      <c r="I3" s="18"/>
      <c r="J3" s="18"/>
      <c r="K3" s="18"/>
      <c r="L3" s="18"/>
      <c r="M3" s="18"/>
      <c r="N3" s="19"/>
      <c r="P3" s="12">
        <f>_xlfn.XLOOKUP("Chocolate", A2:A11, C2:C11)</f>
        <v>45</v>
      </c>
      <c r="Q3" s="13"/>
      <c r="S3" s="12">
        <f>SUMIFS(D2:D11, B2:B11, "Stationery")</f>
        <v>52</v>
      </c>
      <c r="T3" s="13"/>
      <c r="V3" s="7" t="s">
        <v>1</v>
      </c>
      <c r="W3" s="8" t="s">
        <v>29</v>
      </c>
    </row>
    <row r="4" spans="1:23" ht="29.25" customHeight="1">
      <c r="A4" s="1" t="s">
        <v>13</v>
      </c>
      <c r="B4" s="1" t="s">
        <v>14</v>
      </c>
      <c r="C4" s="1">
        <v>20</v>
      </c>
      <c r="D4" s="1">
        <v>3</v>
      </c>
      <c r="F4" s="17"/>
      <c r="G4" s="18"/>
      <c r="H4" s="18"/>
      <c r="I4" s="18"/>
      <c r="J4" s="18"/>
      <c r="K4" s="18"/>
      <c r="L4" s="18"/>
      <c r="M4" s="18"/>
      <c r="N4" s="19"/>
      <c r="P4" s="12" t="str">
        <f>_xlfn.XLOOKUP(35,C2:C11,A2:A11)</f>
        <v>Juice</v>
      </c>
      <c r="Q4" s="13"/>
      <c r="V4" s="36" t="s">
        <v>11</v>
      </c>
      <c r="W4" s="35">
        <v>52</v>
      </c>
    </row>
    <row r="5" spans="1:23" ht="29.25" customHeight="1">
      <c r="A5" s="1" t="s">
        <v>18</v>
      </c>
      <c r="B5" s="1" t="s">
        <v>19</v>
      </c>
      <c r="C5" s="1">
        <v>30</v>
      </c>
      <c r="D5" s="1">
        <v>2</v>
      </c>
      <c r="F5" s="17"/>
      <c r="G5" s="18"/>
      <c r="H5" s="18"/>
      <c r="I5" s="18"/>
      <c r="J5" s="18"/>
      <c r="K5" s="18"/>
      <c r="L5" s="18"/>
      <c r="M5" s="18"/>
      <c r="N5" s="19"/>
      <c r="P5" s="12" t="str">
        <f>_xlfn.XLOOKUP("Chips",A2:A11, B2:B11, "Unknown")</f>
        <v>Snacks</v>
      </c>
      <c r="Q5" s="13"/>
      <c r="S5" s="10" t="s">
        <v>30</v>
      </c>
      <c r="T5" s="11"/>
      <c r="V5" s="8" t="s">
        <v>17</v>
      </c>
      <c r="W5" s="35">
        <v>52</v>
      </c>
    </row>
    <row r="6" spans="1:23" ht="29.25" customHeight="1">
      <c r="A6" s="1" t="s">
        <v>21</v>
      </c>
      <c r="B6" s="1" t="s">
        <v>14</v>
      </c>
      <c r="C6" s="1">
        <v>15</v>
      </c>
      <c r="D6" s="1">
        <v>8</v>
      </c>
      <c r="F6" s="17"/>
      <c r="G6" s="18"/>
      <c r="H6" s="18"/>
      <c r="I6" s="18"/>
      <c r="J6" s="18"/>
      <c r="K6" s="18"/>
      <c r="L6" s="18"/>
      <c r="M6" s="18"/>
      <c r="N6" s="19"/>
      <c r="S6" s="12">
        <f>COUNTIFS(C2:C11,"&gt;20")</f>
        <v>5</v>
      </c>
      <c r="T6" s="13"/>
    </row>
    <row r="7" spans="1:23" ht="29.25" customHeight="1">
      <c r="A7" s="1" t="s">
        <v>23</v>
      </c>
      <c r="B7" s="1" t="s">
        <v>19</v>
      </c>
      <c r="C7" s="1">
        <v>45</v>
      </c>
      <c r="D7" s="1">
        <v>6</v>
      </c>
      <c r="F7" s="17"/>
      <c r="G7" s="18"/>
      <c r="H7" s="18"/>
      <c r="I7" s="18"/>
      <c r="J7" s="18"/>
      <c r="K7" s="18"/>
      <c r="L7" s="18"/>
      <c r="M7" s="18"/>
      <c r="N7" s="19"/>
      <c r="P7" s="10" t="s">
        <v>31</v>
      </c>
      <c r="Q7" s="11"/>
    </row>
    <row r="8" spans="1:23" ht="29.25" customHeight="1">
      <c r="A8" s="1" t="s">
        <v>22</v>
      </c>
      <c r="B8" s="1" t="s">
        <v>11</v>
      </c>
      <c r="C8" s="1">
        <v>25</v>
      </c>
      <c r="D8" s="1">
        <v>15</v>
      </c>
      <c r="F8" s="17"/>
      <c r="G8" s="18"/>
      <c r="H8" s="18"/>
      <c r="I8" s="18"/>
      <c r="J8" s="18"/>
      <c r="K8" s="18"/>
      <c r="L8" s="18"/>
      <c r="M8" s="18"/>
      <c r="N8" s="19"/>
      <c r="P8" s="12">
        <f>INDEX(C2:C11, MATCH("Marker",A2:A11, 0))</f>
        <v>25</v>
      </c>
      <c r="Q8" s="13"/>
      <c r="S8" s="10" t="s">
        <v>32</v>
      </c>
      <c r="T8" s="11"/>
    </row>
    <row r="9" spans="1:23" ht="29.25" customHeight="1">
      <c r="A9" s="1" t="s">
        <v>24</v>
      </c>
      <c r="B9" s="1" t="s">
        <v>14</v>
      </c>
      <c r="C9" s="1">
        <v>35</v>
      </c>
      <c r="D9" s="1">
        <v>4</v>
      </c>
      <c r="F9" s="17"/>
      <c r="G9" s="18"/>
      <c r="H9" s="18"/>
      <c r="I9" s="18"/>
      <c r="J9" s="18"/>
      <c r="K9" s="18"/>
      <c r="L9" s="18"/>
      <c r="M9" s="18"/>
      <c r="N9" s="19"/>
      <c r="P9" s="12">
        <f>INDEX(D2:D11, MATCH("Biscuits",A2:A11,0))</f>
        <v>10</v>
      </c>
      <c r="Q9" s="13"/>
      <c r="S9" s="12" t="str">
        <f>IF(D2&gt;=10, "High", IF(D2&gt;=5, "Medium", "Low"))</f>
        <v>Medium</v>
      </c>
      <c r="T9" s="13"/>
    </row>
    <row r="10" spans="1:23" ht="29.25" customHeight="1">
      <c r="A10" s="1" t="s">
        <v>33</v>
      </c>
      <c r="B10" s="1" t="s">
        <v>19</v>
      </c>
      <c r="C10" s="1">
        <v>12</v>
      </c>
      <c r="D10" s="1">
        <v>10</v>
      </c>
      <c r="F10" s="17"/>
      <c r="G10" s="18"/>
      <c r="H10" s="18"/>
      <c r="I10" s="18"/>
      <c r="J10" s="18"/>
      <c r="K10" s="18"/>
      <c r="L10" s="18"/>
      <c r="M10" s="18"/>
      <c r="N10" s="19"/>
      <c r="S10" s="12" t="str" cm="1">
        <f t="array" ref="S10">_xlfn.IFS(D2&gt;=10, "High", D2&gt;=5, "Medium", TRUE, "Low")</f>
        <v>Medium</v>
      </c>
      <c r="T10" s="13"/>
    </row>
    <row r="11" spans="1:23" ht="29.25" customHeight="1">
      <c r="A11" s="1" t="s">
        <v>34</v>
      </c>
      <c r="B11" s="1" t="s">
        <v>11</v>
      </c>
      <c r="C11" s="1">
        <v>5</v>
      </c>
      <c r="D11" s="1">
        <v>20</v>
      </c>
      <c r="F11" s="17"/>
      <c r="G11" s="18"/>
      <c r="H11" s="18"/>
      <c r="I11" s="18"/>
      <c r="J11" s="18"/>
      <c r="K11" s="18"/>
      <c r="L11" s="18"/>
      <c r="M11" s="18"/>
      <c r="N11" s="19"/>
    </row>
    <row r="12" spans="1:23">
      <c r="F12" s="17"/>
      <c r="G12" s="18"/>
      <c r="H12" s="18"/>
      <c r="I12" s="18"/>
      <c r="J12" s="18"/>
      <c r="K12" s="18"/>
      <c r="L12" s="18"/>
      <c r="M12" s="18"/>
      <c r="N12" s="19"/>
    </row>
    <row r="13" spans="1:23">
      <c r="F13" s="17"/>
      <c r="G13" s="18"/>
      <c r="H13" s="18"/>
      <c r="I13" s="18"/>
      <c r="J13" s="18"/>
      <c r="K13" s="18"/>
      <c r="L13" s="18"/>
      <c r="M13" s="18"/>
      <c r="N13" s="19"/>
    </row>
    <row r="14" spans="1:23">
      <c r="F14" s="17"/>
      <c r="G14" s="18"/>
      <c r="H14" s="18"/>
      <c r="I14" s="18"/>
      <c r="J14" s="18"/>
      <c r="K14" s="18"/>
      <c r="L14" s="18"/>
      <c r="M14" s="18"/>
      <c r="N14" s="19"/>
    </row>
    <row r="15" spans="1:23">
      <c r="F15" s="17"/>
      <c r="G15" s="18"/>
      <c r="H15" s="18"/>
      <c r="I15" s="18"/>
      <c r="J15" s="18"/>
      <c r="K15" s="18"/>
      <c r="L15" s="18"/>
      <c r="M15" s="18"/>
      <c r="N15" s="19"/>
    </row>
    <row r="16" spans="1:23">
      <c r="F16" s="17"/>
      <c r="G16" s="18"/>
      <c r="H16" s="18"/>
      <c r="I16" s="18"/>
      <c r="J16" s="18"/>
      <c r="K16" s="18"/>
      <c r="L16" s="18"/>
      <c r="M16" s="18"/>
      <c r="N16" s="19"/>
    </row>
    <row r="17" spans="6:14">
      <c r="F17" s="20"/>
      <c r="G17" s="21"/>
      <c r="H17" s="21"/>
      <c r="I17" s="21"/>
      <c r="J17" s="21"/>
      <c r="K17" s="21"/>
      <c r="L17" s="21"/>
      <c r="M17" s="21"/>
      <c r="N17" s="22"/>
    </row>
  </sheetData>
  <mergeCells count="16">
    <mergeCell ref="V2:W2"/>
    <mergeCell ref="S2:T2"/>
    <mergeCell ref="S3:T3"/>
    <mergeCell ref="F1:N17"/>
    <mergeCell ref="P2:Q2"/>
    <mergeCell ref="P3:Q3"/>
    <mergeCell ref="P4:Q4"/>
    <mergeCell ref="P5:Q5"/>
    <mergeCell ref="P7:Q7"/>
    <mergeCell ref="P8:Q8"/>
    <mergeCell ref="P9:Q9"/>
    <mergeCell ref="S5:T5"/>
    <mergeCell ref="S6:T6"/>
    <mergeCell ref="S8:T8"/>
    <mergeCell ref="S9:T9"/>
    <mergeCell ref="S10:T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Modassir</cp:lastModifiedBy>
  <cp:revision/>
  <dcterms:created xsi:type="dcterms:W3CDTF">2026-09-24T06:40:59Z</dcterms:created>
  <dcterms:modified xsi:type="dcterms:W3CDTF">2026-09-25T12:22:53Z</dcterms:modified>
  <cp:category/>
  <cp:contentStatus/>
</cp:coreProperties>
</file>