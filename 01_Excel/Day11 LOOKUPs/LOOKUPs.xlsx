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469" documentId="11_E60897F41BE170836B02CE998F75CCDC64E183C8" xr6:coauthVersionLast="47" xr6:coauthVersionMax="47" xr10:uidLastSave="{C5A2018D-1AD8-4F37-BC02-2DB80776D5EC}"/>
  <bookViews>
    <workbookView xWindow="240" yWindow="105" windowWidth="14805" windowHeight="8010" xr2:uid="{00000000-000D-0000-FFFF-FFFF00000000}"/>
  </bookViews>
  <sheets>
    <sheet name="ProductList" sheetId="2" r:id="rId1"/>
    <sheet name="VLOOKUP" sheetId="3" r:id="rId2"/>
    <sheet name="HLOOKUP" sheetId="5" r:id="rId3"/>
    <sheet name="XLOOKUP" sheetId="6" r:id="rId4"/>
    <sheet name="ChatGPT - XLOOKUP" sheetId="8" r:id="rId5"/>
    <sheet name="ChatGPT - HLOOKUP" sheetId="7" r:id="rId6"/>
    <sheet name="ChatGPT - VLOOKUP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L5" i="2" a="1"/>
  <c r="L5" i="2"/>
  <c r="L3" i="2"/>
  <c r="L2" i="2"/>
  <c r="G4" i="2"/>
  <c r="L4" i="2"/>
  <c r="I4" i="2" a="1"/>
  <c r="I4" i="2"/>
  <c r="I2" i="2" a="1"/>
  <c r="I2" i="2"/>
  <c r="H3" i="2"/>
  <c r="G7" i="2"/>
  <c r="G2" i="2"/>
  <c r="G3" i="2"/>
  <c r="G5" i="2"/>
  <c r="G6" i="2"/>
  <c r="H15" i="8"/>
  <c r="G15" i="8"/>
  <c r="F15" i="8"/>
  <c r="E15" i="8"/>
  <c r="M13" i="8"/>
  <c r="M11" i="8"/>
  <c r="M9" i="8"/>
  <c r="J11" i="8"/>
  <c r="J4" i="8"/>
  <c r="J9" i="8"/>
  <c r="B9" i="7"/>
  <c r="D13" i="7"/>
  <c r="D12" i="7"/>
  <c r="D11" i="7"/>
  <c r="D10" i="7"/>
  <c r="C11" i="5"/>
  <c r="D11" i="5"/>
  <c r="E11" i="5"/>
  <c r="F11" i="5"/>
  <c r="G11" i="5"/>
  <c r="L10" i="3"/>
  <c r="L15" i="4"/>
  <c r="K15" i="4"/>
  <c r="J15" i="4"/>
  <c r="I15" i="4"/>
  <c r="L16" i="4"/>
  <c r="L17" i="4"/>
  <c r="L18" i="4"/>
  <c r="K16" i="4"/>
  <c r="K17" i="4"/>
  <c r="K18" i="4"/>
  <c r="J16" i="4"/>
  <c r="J17" i="4"/>
  <c r="J18" i="4"/>
  <c r="I16" i="4"/>
  <c r="I17" i="4"/>
  <c r="I18" i="4"/>
  <c r="L11" i="3"/>
  <c r="L12" i="3"/>
  <c r="L13" i="3"/>
  <c r="L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<sst xmlns="http://schemas.openxmlformats.org/spreadsheetml/2006/main" count="227" uniqueCount="106">
  <si>
    <t>Product</t>
  </si>
  <si>
    <t>Price</t>
  </si>
  <si>
    <t>Water</t>
  </si>
  <si>
    <t>Pen</t>
  </si>
  <si>
    <t>Notebook</t>
  </si>
  <si>
    <t>Coke</t>
  </si>
  <si>
    <t>Chips</t>
  </si>
  <si>
    <t>Juice</t>
  </si>
  <si>
    <t>ProductID</t>
  </si>
  <si>
    <t>ProductName</t>
  </si>
  <si>
    <t>Category</t>
  </si>
  <si>
    <t>P1001</t>
  </si>
  <si>
    <t>Stationary</t>
  </si>
  <si>
    <t>P1002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</si>
  <si>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</si>
  <si>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</si>
  <si>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</si>
  <si>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</si>
  <si>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</si>
  <si>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</si>
  <si>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</si>
  <si>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</si>
  <si>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</si>
  <si>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Quantity</t>
  </si>
  <si>
    <t>Ordered Product Name</t>
  </si>
  <si>
    <t>O-001</t>
  </si>
  <si>
    <t>O-002</t>
  </si>
  <si>
    <t>O-003</t>
  </si>
  <si>
    <t>O-004</t>
  </si>
  <si>
    <t>O-005</t>
  </si>
  <si>
    <t>P9999</t>
  </si>
  <si>
    <t>Price Per Product</t>
  </si>
  <si>
    <t>Employee ID</t>
  </si>
  <si>
    <t>Employee Name</t>
  </si>
  <si>
    <t>Department</t>
  </si>
  <si>
    <t>Location</t>
  </si>
  <si>
    <t>Salary</t>
  </si>
  <si>
    <t>Performance</t>
  </si>
  <si>
    <t>E101</t>
  </si>
  <si>
    <t>Ahmed</t>
  </si>
  <si>
    <t>Sales</t>
  </si>
  <si>
    <t>Dubai</t>
  </si>
  <si>
    <t>E102</t>
  </si>
  <si>
    <t>Rahul</t>
  </si>
  <si>
    <t>Finance</t>
  </si>
  <si>
    <t>Abu Dhabi</t>
  </si>
  <si>
    <t>E103</t>
  </si>
  <si>
    <t>Sara</t>
  </si>
  <si>
    <t>HR</t>
  </si>
  <si>
    <t>E104</t>
  </si>
  <si>
    <t>Omar</t>
  </si>
  <si>
    <t>IT</t>
  </si>
  <si>
    <t>Sharjah</t>
  </si>
  <si>
    <t>E105</t>
  </si>
  <si>
    <t>Priya</t>
  </si>
  <si>
    <t>E106</t>
  </si>
  <si>
    <t>Hassan</t>
  </si>
  <si>
    <t>E107</t>
  </si>
  <si>
    <t>Aisha</t>
  </si>
  <si>
    <t>E108</t>
  </si>
  <si>
    <t>Daniel</t>
  </si>
  <si>
    <t>E109</t>
  </si>
  <si>
    <t>Fatima</t>
  </si>
  <si>
    <t>E110</t>
  </si>
  <si>
    <t>Arjun</t>
  </si>
  <si>
    <t>John</t>
  </si>
  <si>
    <t>Search Employee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</si>
  <si>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</si>
  <si>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</si>
  <si>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</si>
  <si>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</si>
  <si>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</si>
  <si>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</si>
  <si>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</si>
  <si>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</si>
  <si>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</si>
  <si>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</si>
  <si>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</si>
  <si>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Expenses</t>
  </si>
  <si>
    <t>Orders</t>
  </si>
  <si>
    <t>Customers</t>
  </si>
  <si>
    <t>Laptop</t>
  </si>
  <si>
    <t>Monitor</t>
  </si>
  <si>
    <t>Keyboard</t>
  </si>
  <si>
    <t>Product ID</t>
  </si>
  <si>
    <t>Stock</t>
  </si>
  <si>
    <t>P101</t>
  </si>
  <si>
    <t>P102</t>
  </si>
  <si>
    <t>Accessories</t>
  </si>
  <si>
    <t>P103</t>
  </si>
  <si>
    <t>P104</t>
  </si>
  <si>
    <t>P105</t>
  </si>
  <si>
    <t>Headphones</t>
  </si>
  <si>
    <t>P106</t>
  </si>
  <si>
    <t>Printer</t>
  </si>
  <si>
    <t>P107</t>
  </si>
  <si>
    <t>Webcam</t>
  </si>
  <si>
    <t>P108</t>
  </si>
  <si>
    <t>Tablet</t>
  </si>
  <si>
    <t>P109</t>
  </si>
  <si>
    <t>Speaker</t>
  </si>
  <si>
    <t>P110</t>
  </si>
  <si>
    <t>USB Drive</t>
  </si>
  <si>
    <t>Storage</t>
  </si>
  <si>
    <t>Enter Product ID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</si>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</sst>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B48D-E6D0-4776-A4D3-DA10B971618E}">
  <dimension ref="A1:M7"/>
  <sheetViews>
    <sheetView tabSelected="1" workbookViewId="0">
      <selection activeCell="E4" sqref="E4"/>
    </sheetView>
  </sheetViews>
  <sheetFormatPr defaultRowHeight="15"/>
  <cols>
    <col min="1" max="2" width="15.140625" customWidth="1"/>
    <col min="6" max="6" width="16.28515625" customWidth="1"/>
    <col min="7" max="7" width="14.5703125" customWidth="1"/>
    <col min="8" max="8" width="15.140625" customWidth="1"/>
    <col min="9" max="9" width="16.42578125" customWidth="1"/>
    <col min="10" max="10" width="13" customWidth="1"/>
  </cols>
  <sheetData>
    <row r="1" spans="1:13" ht="31.5" customHeight="1">
      <c r="A1" s="5" t="s">
        <v>0</v>
      </c>
      <c r="B1" s="5" t="s">
        <v>1</v>
      </c>
      <c r="E1" t="s">
        <v>2</v>
      </c>
      <c r="F1" s="5" t="s">
        <v>0</v>
      </c>
      <c r="G1" s="6"/>
    </row>
    <row r="2" spans="1:13" ht="31.5" customHeight="1">
      <c r="A2" s="6" t="s">
        <v>3</v>
      </c>
      <c r="B2" s="6">
        <v>10</v>
      </c>
      <c r="F2" s="6" t="s">
        <v>3</v>
      </c>
      <c r="G2" s="6">
        <f t="shared" ref="G2:G6" si="0">_xlfn.XLOOKUP(F2,A2:A6,B2:B6)</f>
        <v>10</v>
      </c>
      <c r="H2" s="6"/>
      <c r="I2" s="6" t="str" cm="1">
        <f t="array" ref="I2:J2">_xlfn.XLOOKUP(F2,A2:A6,A2:B6)</f>
        <v>Pen</v>
      </c>
      <c r="J2" s="6">
        <v>10</v>
      </c>
      <c r="L2" t="str">
        <f>_xlfn.XLOOKUP("Chocolate", A2:A6,B2:B6, "Poduct not found")</f>
        <v>Poduct not found</v>
      </c>
    </row>
    <row r="3" spans="1:13" ht="31.5" customHeight="1">
      <c r="A3" s="6" t="s">
        <v>4</v>
      </c>
      <c r="B3" s="6">
        <v>50</v>
      </c>
      <c r="F3" s="6" t="s">
        <v>4</v>
      </c>
      <c r="G3" s="6">
        <f t="shared" si="0"/>
        <v>50</v>
      </c>
      <c r="H3" s="6" t="str">
        <f>_xlfn.XLOOKUP(G3,B2:B6,A2:A6)</f>
        <v>Notebook</v>
      </c>
      <c r="I3" s="6"/>
      <c r="J3" s="6"/>
      <c r="L3" t="str">
        <f>_xlfn.XLOOKUP(30, B2:B6,A2:A6)</f>
        <v>Chips</v>
      </c>
    </row>
    <row r="4" spans="1:13" ht="31.5" customHeight="1">
      <c r="A4" s="6" t="s">
        <v>5</v>
      </c>
      <c r="B4" s="6">
        <v>20</v>
      </c>
      <c r="E4">
        <f>_xlfn.XLOOKUP(E1,A2:A6,B2:B6, "Product not found")</f>
        <v>15</v>
      </c>
      <c r="F4" s="6" t="s">
        <v>5</v>
      </c>
      <c r="G4" s="6">
        <f>_xlfn.XLOOKUP("Coke", A2:A6,B2:B6)</f>
        <v>20</v>
      </c>
      <c r="H4" s="6"/>
      <c r="I4" s="6" t="str" cm="1">
        <f t="array" ref="I4:J4">_xlfn.XLOOKUP("Pen", A2:A6,A2:B6)</f>
        <v>Pen</v>
      </c>
      <c r="J4" s="6">
        <v>10</v>
      </c>
      <c r="L4" t="str">
        <f>_xlfn.XLOOKUP(50, B2:B6, A2:A6, "Not Found")</f>
        <v>Notebook</v>
      </c>
    </row>
    <row r="5" spans="1:13" ht="31.5" customHeight="1">
      <c r="A5" s="6" t="s">
        <v>6</v>
      </c>
      <c r="B5" s="6">
        <v>30</v>
      </c>
      <c r="F5" s="6" t="s">
        <v>6</v>
      </c>
      <c r="G5" s="6">
        <f t="shared" si="0"/>
        <v>30</v>
      </c>
      <c r="H5" s="6"/>
      <c r="I5" s="6"/>
      <c r="J5" s="6"/>
      <c r="L5" t="str" cm="1">
        <f t="array" ref="L5:M5">_xlfn.XLOOKUP("Water",A2:A6,A2:B6)</f>
        <v>Water</v>
      </c>
      <c r="M5">
        <v>15</v>
      </c>
    </row>
    <row r="6" spans="1:13" ht="31.5" customHeight="1">
      <c r="A6" s="6" t="s">
        <v>2</v>
      </c>
      <c r="B6" s="6">
        <v>15</v>
      </c>
      <c r="F6" s="6" t="s">
        <v>2</v>
      </c>
      <c r="G6" s="6">
        <f t="shared" si="0"/>
        <v>15</v>
      </c>
      <c r="H6" s="6"/>
      <c r="I6" s="6"/>
      <c r="J6" s="6"/>
    </row>
    <row r="7" spans="1:13" ht="30" customHeight="1">
      <c r="F7" s="6" t="s">
        <v>7</v>
      </c>
      <c r="G7" s="6" t="str">
        <f>_xlfn.XLOOKUP(F7,A2:A6,B2:B6,"Not Found")</f>
        <v>Not Found</v>
      </c>
      <c r="H7" s="6"/>
      <c r="I7" s="6"/>
      <c r="J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333C-13AB-4FBB-B6CB-907F6ECC6F85}">
  <dimension ref="B2:L14"/>
  <sheetViews>
    <sheetView workbookViewId="0">
      <selection activeCell="L6" sqref="L6"/>
    </sheetView>
  </sheetViews>
  <sheetFormatPr defaultRowHeight="15"/>
  <cols>
    <col min="2" max="5" width="17.85546875" customWidth="1"/>
    <col min="9" max="11" width="17.7109375" customWidth="1"/>
    <col min="12" max="12" width="30.85546875" customWidth="1"/>
  </cols>
  <sheetData>
    <row r="2" spans="2:12" ht="25.5" customHeight="1">
      <c r="B2" s="1" t="s">
        <v>8</v>
      </c>
      <c r="C2" s="1" t="s">
        <v>9</v>
      </c>
      <c r="D2" s="1" t="s">
        <v>10</v>
      </c>
      <c r="E2" s="1" t="s">
        <v>1</v>
      </c>
    </row>
    <row r="3" spans="2:12" ht="25.5" customHeight="1">
      <c r="B3" s="2" t="s">
        <v>11</v>
      </c>
      <c r="C3" s="2" t="s">
        <v>4</v>
      </c>
      <c r="D3" s="2" t="s">
        <v>12</v>
      </c>
      <c r="E3" s="2">
        <v>50</v>
      </c>
    </row>
    <row r="4" spans="2:12" ht="25.5" customHeight="1">
      <c r="B4" s="2" t="s">
        <v>13</v>
      </c>
      <c r="C4" s="2" t="s">
        <v>3</v>
      </c>
      <c r="D4" s="2" t="s">
        <v>12</v>
      </c>
      <c r="E4" s="2">
        <v>10</v>
      </c>
    </row>
    <row r="5" spans="2:12" ht="25.5" customHeight="1">
      <c r="B5" s="2" t="s">
        <v>14</v>
      </c>
      <c r="C5" s="2" t="s">
        <v>15</v>
      </c>
      <c r="D5" s="2" t="s">
        <v>16</v>
      </c>
      <c r="E5" s="2">
        <v>199</v>
      </c>
    </row>
    <row r="6" spans="2:12" ht="25.5" customHeight="1">
      <c r="B6" s="2" t="s">
        <v>17</v>
      </c>
      <c r="C6" s="2" t="s">
        <v>18</v>
      </c>
      <c r="D6" s="2" t="s">
        <v>16</v>
      </c>
      <c r="E6" s="2">
        <v>499</v>
      </c>
    </row>
    <row r="7" spans="2:12" ht="25.5" customHeight="1">
      <c r="B7" s="2" t="s">
        <v>19</v>
      </c>
      <c r="C7" s="2" t="s">
        <v>20</v>
      </c>
      <c r="D7" s="2" t="s">
        <v>21</v>
      </c>
      <c r="E7" s="2">
        <v>299</v>
      </c>
    </row>
    <row r="9" spans="2:12" ht="28.5" customHeight="1">
      <c r="I9" s="1" t="s">
        <v>22</v>
      </c>
      <c r="J9" s="1" t="s">
        <v>8</v>
      </c>
      <c r="K9" s="3" t="s">
        <v>23</v>
      </c>
      <c r="L9" s="1" t="s">
        <v>24</v>
      </c>
    </row>
    <row r="10" spans="2:12" ht="28.5" customHeight="1">
      <c r="I10" s="2" t="s">
        <v>25</v>
      </c>
      <c r="J10" s="2" t="s">
        <v>14</v>
      </c>
      <c r="K10" s="4">
        <v>2</v>
      </c>
      <c r="L10" s="2" t="str">
        <f>IF(ISNA(VLOOKUP(J10,$B$2:$E$7,2,)), "Not Present", VLOOKUP(J10,$B$2:$E$7,2,))</f>
        <v>USB Cable</v>
      </c>
    </row>
    <row r="11" spans="2:12" ht="28.5" customHeight="1">
      <c r="I11" s="2" t="s">
        <v>26</v>
      </c>
      <c r="J11" s="2" t="s">
        <v>11</v>
      </c>
      <c r="K11" s="4">
        <v>5</v>
      </c>
      <c r="L11" s="2" t="str">
        <f>IF(ISNA(VLOOKUP(J11,$B$2:$E$7,2,)), "Not Present", VLOOKUP(J11,$B$2:$E$7,2,))</f>
        <v>Notebook</v>
      </c>
    </row>
    <row r="12" spans="2:12" ht="28.5" customHeight="1">
      <c r="I12" s="2" t="s">
        <v>27</v>
      </c>
      <c r="J12" s="2" t="s">
        <v>17</v>
      </c>
      <c r="K12" s="4">
        <v>1</v>
      </c>
      <c r="L12" s="2" t="str">
        <f t="shared" ref="L11:L14" si="0">IF(ISNA(VLOOKUP(J12,$B$2:$E$7,2,)), "Not Present", VLOOKUP(J12,$B$2:$E$7,2,))</f>
        <v>Mouse</v>
      </c>
    </row>
    <row r="13" spans="2:12" ht="28.5" customHeight="1">
      <c r="I13" s="2" t="s">
        <v>28</v>
      </c>
      <c r="J13" s="2" t="s">
        <v>13</v>
      </c>
      <c r="K13" s="4">
        <v>10</v>
      </c>
      <c r="L13" s="2" t="str">
        <f t="shared" si="0"/>
        <v>Pen</v>
      </c>
    </row>
    <row r="14" spans="2:12" ht="28.5" customHeight="1">
      <c r="I14" s="2" t="s">
        <v>29</v>
      </c>
      <c r="J14" s="2" t="s">
        <v>30</v>
      </c>
      <c r="K14" s="4">
        <v>1</v>
      </c>
      <c r="L14" s="2" t="str">
        <f t="shared" si="0"/>
        <v>Not Present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18CE-A108-4399-AB66-9B2887A784A3}">
  <dimension ref="B2:G11"/>
  <sheetViews>
    <sheetView workbookViewId="0">
      <selection activeCell="C9" sqref="C9"/>
    </sheetView>
  </sheetViews>
  <sheetFormatPr defaultRowHeight="15"/>
  <cols>
    <col min="2" max="2" width="24.7109375" style="7" customWidth="1"/>
    <col min="3" max="7" width="20.28515625" style="7" customWidth="1"/>
  </cols>
  <sheetData>
    <row r="2" spans="2:7" ht="31.5" customHeight="1">
      <c r="B2" s="8" t="s">
        <v>8</v>
      </c>
      <c r="C2" s="9" t="s">
        <v>11</v>
      </c>
      <c r="D2" s="9" t="s">
        <v>13</v>
      </c>
      <c r="E2" s="9" t="s">
        <v>14</v>
      </c>
      <c r="F2" s="9" t="s">
        <v>17</v>
      </c>
      <c r="G2" s="9" t="s">
        <v>19</v>
      </c>
    </row>
    <row r="3" spans="2:7" ht="31.5" customHeight="1">
      <c r="B3" s="8" t="s">
        <v>9</v>
      </c>
      <c r="C3" s="9" t="s">
        <v>4</v>
      </c>
      <c r="D3" s="9" t="s">
        <v>3</v>
      </c>
      <c r="E3" s="9" t="s">
        <v>15</v>
      </c>
      <c r="F3" s="9" t="s">
        <v>18</v>
      </c>
      <c r="G3" s="9" t="s">
        <v>20</v>
      </c>
    </row>
    <row r="4" spans="2:7" ht="31.5" customHeight="1">
      <c r="B4" s="8" t="s">
        <v>10</v>
      </c>
      <c r="C4" s="9" t="s">
        <v>12</v>
      </c>
      <c r="D4" s="9" t="s">
        <v>12</v>
      </c>
      <c r="E4" s="9" t="s">
        <v>16</v>
      </c>
      <c r="F4" s="9" t="s">
        <v>16</v>
      </c>
      <c r="G4" s="9" t="s">
        <v>21</v>
      </c>
    </row>
    <row r="5" spans="2:7" ht="31.5" customHeight="1">
      <c r="B5" s="8" t="s">
        <v>1</v>
      </c>
      <c r="C5" s="9">
        <v>50</v>
      </c>
      <c r="D5" s="9">
        <v>10</v>
      </c>
      <c r="E5" s="9">
        <v>199</v>
      </c>
      <c r="F5" s="9">
        <v>499</v>
      </c>
      <c r="G5" s="9">
        <v>299</v>
      </c>
    </row>
    <row r="8" spans="2:7" ht="31.5" customHeight="1">
      <c r="B8" s="8" t="s">
        <v>22</v>
      </c>
      <c r="C8" s="9" t="s">
        <v>25</v>
      </c>
      <c r="D8" s="9" t="s">
        <v>26</v>
      </c>
      <c r="E8" s="9" t="s">
        <v>27</v>
      </c>
      <c r="F8" s="9" t="s">
        <v>28</v>
      </c>
      <c r="G8" s="9" t="s">
        <v>29</v>
      </c>
    </row>
    <row r="9" spans="2:7" ht="31.5" customHeight="1">
      <c r="B9" s="8" t="s">
        <v>8</v>
      </c>
      <c r="C9" s="9" t="s">
        <v>14</v>
      </c>
      <c r="D9" s="9" t="s">
        <v>11</v>
      </c>
      <c r="E9" s="9" t="s">
        <v>17</v>
      </c>
      <c r="F9" s="9" t="s">
        <v>13</v>
      </c>
      <c r="G9" s="9" t="s">
        <v>30</v>
      </c>
    </row>
    <row r="10" spans="2:7" ht="31.5" customHeight="1">
      <c r="B10" s="8" t="s">
        <v>23</v>
      </c>
      <c r="C10" s="9">
        <v>2</v>
      </c>
      <c r="D10" s="9">
        <v>5</v>
      </c>
      <c r="E10" s="9">
        <v>1</v>
      </c>
      <c r="F10" s="9">
        <v>10</v>
      </c>
      <c r="G10" s="9">
        <v>1</v>
      </c>
    </row>
    <row r="11" spans="2:7" ht="31.5" customHeight="1">
      <c r="B11" s="8" t="s">
        <v>31</v>
      </c>
      <c r="C11" s="9">
        <f>IFERROR(HLOOKUP(C9,$B$2:$G$5,4,FALSE), "Price not found")</f>
        <v>199</v>
      </c>
      <c r="D11" s="9">
        <f t="shared" ref="C11:F11" si="0">IFERROR(HLOOKUP(D9,$B$2:$G$5,4,FALSE), "Price not found")</f>
        <v>50</v>
      </c>
      <c r="E11" s="9">
        <f t="shared" si="0"/>
        <v>499</v>
      </c>
      <c r="F11" s="9">
        <f t="shared" si="0"/>
        <v>10</v>
      </c>
      <c r="G11" s="9" t="str">
        <f>IFERROR(HLOOKUP(G9,$B$2:$G$5,4,FALSE), "Price not found")</f>
        <v>Price not found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EFDA-255D-4803-AED2-40ADF8F4E3C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5DA9-73EC-4D54-85AE-EBBC4F089B44}">
  <dimension ref="B2:M15"/>
  <sheetViews>
    <sheetView workbookViewId="0">
      <selection activeCell="D16" sqref="D16"/>
    </sheetView>
  </sheetViews>
  <sheetFormatPr defaultRowHeight="15"/>
  <cols>
    <col min="2" max="6" width="18.28515625" customWidth="1"/>
    <col min="7" max="7" width="14" customWidth="1"/>
    <col min="8" max="8" width="18.5703125" customWidth="1"/>
    <col min="9" max="9" width="16.28515625" customWidth="1"/>
    <col min="10" max="10" width="17.42578125" customWidth="1"/>
    <col min="12" max="12" width="20" customWidth="1"/>
    <col min="13" max="13" width="24.7109375" customWidth="1"/>
  </cols>
  <sheetData>
    <row r="2" spans="2:13" ht="26.25" customHeight="1"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I2" s="3" t="s">
        <v>32</v>
      </c>
      <c r="J2" s="2"/>
      <c r="L2" s="1" t="s">
        <v>33</v>
      </c>
      <c r="M2" s="1"/>
    </row>
    <row r="3" spans="2:13" ht="26.25" customHeight="1">
      <c r="B3" s="2" t="s">
        <v>38</v>
      </c>
      <c r="C3" s="2" t="s">
        <v>39</v>
      </c>
      <c r="D3" s="2" t="s">
        <v>40</v>
      </c>
      <c r="E3" s="2" t="s">
        <v>41</v>
      </c>
      <c r="F3" s="2">
        <v>42000</v>
      </c>
      <c r="G3" s="2">
        <v>4.2</v>
      </c>
      <c r="I3" s="4" t="s">
        <v>38</v>
      </c>
      <c r="J3" s="2"/>
      <c r="L3" s="2" t="s">
        <v>39</v>
      </c>
      <c r="M3" s="2"/>
    </row>
    <row r="4" spans="2:13" ht="26.25" customHeight="1">
      <c r="B4" s="2" t="s">
        <v>42</v>
      </c>
      <c r="C4" s="2" t="s">
        <v>43</v>
      </c>
      <c r="D4" s="2" t="s">
        <v>44</v>
      </c>
      <c r="E4" s="2" t="s">
        <v>45</v>
      </c>
      <c r="F4" s="2">
        <v>48000</v>
      </c>
      <c r="G4" s="2">
        <v>4.5</v>
      </c>
      <c r="I4" s="4" t="s">
        <v>42</v>
      </c>
      <c r="J4" s="2">
        <f>_xlfn.XLOOKUP(I4,B3:B12,F3:F12)</f>
        <v>48000</v>
      </c>
      <c r="L4" s="2" t="s">
        <v>43</v>
      </c>
      <c r="M4" s="2"/>
    </row>
    <row r="5" spans="2:13" ht="26.25" customHeight="1">
      <c r="B5" s="2" t="s">
        <v>46</v>
      </c>
      <c r="C5" s="2" t="s">
        <v>47</v>
      </c>
      <c r="D5" s="2" t="s">
        <v>48</v>
      </c>
      <c r="E5" s="2" t="s">
        <v>41</v>
      </c>
      <c r="F5" s="2">
        <v>39000</v>
      </c>
      <c r="G5" s="2">
        <v>3.8</v>
      </c>
      <c r="I5" s="4" t="s">
        <v>46</v>
      </c>
      <c r="J5" s="2"/>
      <c r="L5" s="2" t="s">
        <v>47</v>
      </c>
      <c r="M5" s="2"/>
    </row>
    <row r="6" spans="2:13" ht="26.25" customHeight="1">
      <c r="B6" s="2" t="s">
        <v>49</v>
      </c>
      <c r="C6" s="2" t="s">
        <v>50</v>
      </c>
      <c r="D6" s="2" t="s">
        <v>51</v>
      </c>
      <c r="E6" s="2" t="s">
        <v>52</v>
      </c>
      <c r="F6" s="2">
        <v>55000</v>
      </c>
      <c r="G6" s="2">
        <v>4.7</v>
      </c>
      <c r="I6" s="4" t="s">
        <v>49</v>
      </c>
      <c r="J6" s="2"/>
      <c r="L6" s="2" t="s">
        <v>50</v>
      </c>
      <c r="M6" s="2"/>
    </row>
    <row r="7" spans="2:13" ht="26.25" customHeight="1">
      <c r="B7" s="2" t="s">
        <v>53</v>
      </c>
      <c r="C7" s="2" t="s">
        <v>54</v>
      </c>
      <c r="D7" s="2" t="s">
        <v>40</v>
      </c>
      <c r="E7" s="2" t="s">
        <v>45</v>
      </c>
      <c r="F7" s="2">
        <v>45000</v>
      </c>
      <c r="G7" s="2">
        <v>4.0999999999999996</v>
      </c>
      <c r="I7" s="4" t="s">
        <v>53</v>
      </c>
      <c r="J7" s="2"/>
      <c r="L7" s="2" t="s">
        <v>54</v>
      </c>
      <c r="M7" s="2"/>
    </row>
    <row r="8" spans="2:13" ht="26.25" customHeight="1">
      <c r="B8" s="2" t="s">
        <v>55</v>
      </c>
      <c r="C8" s="2" t="s">
        <v>56</v>
      </c>
      <c r="D8" s="2" t="s">
        <v>44</v>
      </c>
      <c r="E8" s="2" t="s">
        <v>41</v>
      </c>
      <c r="F8" s="2">
        <v>52000</v>
      </c>
      <c r="G8" s="2">
        <v>4.5999999999999996</v>
      </c>
      <c r="I8" s="4" t="s">
        <v>55</v>
      </c>
      <c r="J8" s="2"/>
      <c r="L8" s="2" t="s">
        <v>56</v>
      </c>
      <c r="M8" s="2"/>
    </row>
    <row r="9" spans="2:13" ht="26.25" customHeight="1">
      <c r="B9" s="2" t="s">
        <v>57</v>
      </c>
      <c r="C9" s="2" t="s">
        <v>58</v>
      </c>
      <c r="D9" s="2" t="s">
        <v>51</v>
      </c>
      <c r="E9" s="2" t="s">
        <v>41</v>
      </c>
      <c r="F9" s="2">
        <v>61000</v>
      </c>
      <c r="G9" s="2">
        <v>4.9000000000000004</v>
      </c>
      <c r="I9" s="4" t="s">
        <v>57</v>
      </c>
      <c r="J9" s="2" t="str">
        <f>_xlfn.XLOOKUP(I9,B3:B12,C3:C12)</f>
        <v>Aisha</v>
      </c>
      <c r="L9" s="2" t="s">
        <v>58</v>
      </c>
      <c r="M9" s="2" t="str">
        <f>_xlfn.XLOOKUP(L9,C3:C12,B3:B12)</f>
        <v>E107</v>
      </c>
    </row>
    <row r="10" spans="2:13" ht="26.25" customHeight="1">
      <c r="B10" s="2" t="s">
        <v>59</v>
      </c>
      <c r="C10" s="2" t="s">
        <v>60</v>
      </c>
      <c r="D10" s="2" t="s">
        <v>48</v>
      </c>
      <c r="E10" s="2" t="s">
        <v>52</v>
      </c>
      <c r="F10" s="2">
        <v>41000</v>
      </c>
      <c r="G10" s="2">
        <v>3.9</v>
      </c>
      <c r="I10" s="4" t="s">
        <v>59</v>
      </c>
      <c r="J10" s="2"/>
      <c r="L10" s="2" t="s">
        <v>60</v>
      </c>
      <c r="M10" s="2"/>
    </row>
    <row r="11" spans="2:13" ht="26.25" customHeight="1">
      <c r="B11" s="2" t="s">
        <v>61</v>
      </c>
      <c r="C11" s="2" t="s">
        <v>62</v>
      </c>
      <c r="D11" s="2" t="s">
        <v>40</v>
      </c>
      <c r="E11" s="2" t="s">
        <v>41</v>
      </c>
      <c r="F11" s="2">
        <v>47000</v>
      </c>
      <c r="G11" s="2">
        <v>4.3</v>
      </c>
      <c r="I11" s="4" t="s">
        <v>61</v>
      </c>
      <c r="J11" s="2">
        <f>_xlfn.XLOOKUP(I11,B3:B12,G3:G12)</f>
        <v>4.3</v>
      </c>
      <c r="L11" s="2" t="s">
        <v>62</v>
      </c>
      <c r="M11" s="2" t="str">
        <f>_xlfn.XLOOKUP(L11,C3:C12,D3:D12)</f>
        <v>Sales</v>
      </c>
    </row>
    <row r="12" spans="2:13" ht="26.25" customHeight="1">
      <c r="B12" s="2" t="s">
        <v>63</v>
      </c>
      <c r="C12" s="2" t="s">
        <v>64</v>
      </c>
      <c r="D12" s="2" t="s">
        <v>51</v>
      </c>
      <c r="E12" s="2" t="s">
        <v>45</v>
      </c>
      <c r="F12" s="2">
        <v>58000</v>
      </c>
      <c r="G12" s="2">
        <v>4.8</v>
      </c>
      <c r="I12" s="4" t="s">
        <v>63</v>
      </c>
      <c r="J12" s="2"/>
      <c r="L12" s="2" t="s">
        <v>64</v>
      </c>
      <c r="M12" s="2"/>
    </row>
    <row r="13" spans="2:13" ht="25.5" customHeight="1">
      <c r="L13" s="2" t="s">
        <v>65</v>
      </c>
      <c r="M13" s="2" t="str">
        <f>_xlfn.XLOOKUP(L13,C3:C12,B3:B12, "Employee not found")</f>
        <v>Employee not found</v>
      </c>
    </row>
    <row r="14" spans="2:13" ht="31.5" customHeight="1">
      <c r="D14" s="1" t="s">
        <v>66</v>
      </c>
      <c r="E14" s="1" t="s">
        <v>32</v>
      </c>
      <c r="F14" s="1" t="s">
        <v>34</v>
      </c>
      <c r="G14" s="1" t="s">
        <v>36</v>
      </c>
      <c r="H14" s="1" t="s">
        <v>37</v>
      </c>
    </row>
    <row r="15" spans="2:13" ht="29.25" customHeight="1">
      <c r="D15" s="2" t="s">
        <v>39</v>
      </c>
      <c r="E15" s="2" t="str">
        <f>_xlfn.XLOOKUP(D15,C3:C12,B3:B12)</f>
        <v>E101</v>
      </c>
      <c r="F15" s="2" t="str">
        <f>_xlfn.XLOOKUP(D15,C3:C12,D3:D12)</f>
        <v>Sales</v>
      </c>
      <c r="G15" s="2">
        <f>_xlfn.XLOOKUP(D15,C3:C12,F3:F12)</f>
        <v>42000</v>
      </c>
      <c r="H15" s="2">
        <f>_xlfn.XLOOKUP(D15,C3:C12,G3:G12)</f>
        <v>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28C0-7436-4EF2-AF58-725933D4212D}">
  <dimension ref="B2:L13"/>
  <sheetViews>
    <sheetView topLeftCell="A3" workbookViewId="0">
      <selection activeCell="B9" sqref="B9"/>
    </sheetView>
  </sheetViews>
  <sheetFormatPr defaultRowHeight="15"/>
  <cols>
    <col min="2" max="12" width="17.140625" customWidth="1"/>
  </cols>
  <sheetData>
    <row r="2" spans="2:12" ht="25.5" customHeight="1">
      <c r="B2" s="8" t="s">
        <v>67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  <c r="H2" s="9" t="s">
        <v>73</v>
      </c>
      <c r="I2" s="9" t="s">
        <v>74</v>
      </c>
      <c r="J2" s="9" t="s">
        <v>75</v>
      </c>
      <c r="K2" s="9" t="s">
        <v>76</v>
      </c>
      <c r="L2" s="9" t="s">
        <v>77</v>
      </c>
    </row>
    <row r="3" spans="2:12" ht="25.5" customHeight="1">
      <c r="B3" s="8" t="s">
        <v>40</v>
      </c>
      <c r="C3" s="9">
        <v>45000</v>
      </c>
      <c r="D3" s="9">
        <v>52000</v>
      </c>
      <c r="E3" s="9">
        <v>48000</v>
      </c>
      <c r="F3" s="9">
        <v>61000</v>
      </c>
      <c r="G3" s="9">
        <v>57000</v>
      </c>
      <c r="H3" s="9">
        <v>68000</v>
      </c>
      <c r="I3" s="9">
        <v>72000</v>
      </c>
      <c r="J3" s="9">
        <v>65000</v>
      </c>
      <c r="K3" s="9">
        <v>75000</v>
      </c>
      <c r="L3" s="9">
        <v>81000</v>
      </c>
    </row>
    <row r="4" spans="2:12" ht="25.5" customHeight="1">
      <c r="B4" s="8" t="s">
        <v>78</v>
      </c>
      <c r="C4" s="9">
        <v>28000</v>
      </c>
      <c r="D4" s="9">
        <v>31000</v>
      </c>
      <c r="E4" s="9">
        <v>29000</v>
      </c>
      <c r="F4" s="9">
        <v>35000</v>
      </c>
      <c r="G4" s="9">
        <v>33000</v>
      </c>
      <c r="H4" s="9">
        <v>37000</v>
      </c>
      <c r="I4" s="9">
        <v>39000</v>
      </c>
      <c r="J4" s="9">
        <v>36000</v>
      </c>
      <c r="K4" s="9">
        <v>41000</v>
      </c>
      <c r="L4" s="9">
        <v>43000</v>
      </c>
    </row>
    <row r="5" spans="2:12" ht="25.5" customHeight="1">
      <c r="B5" s="8" t="s">
        <v>79</v>
      </c>
      <c r="C5" s="9">
        <v>120</v>
      </c>
      <c r="D5" s="9">
        <v>135</v>
      </c>
      <c r="E5" s="9">
        <v>128</v>
      </c>
      <c r="F5" s="9">
        <v>150</v>
      </c>
      <c r="G5" s="9">
        <v>142</v>
      </c>
      <c r="H5" s="9">
        <v>165</v>
      </c>
      <c r="I5" s="9">
        <v>178</v>
      </c>
      <c r="J5" s="9">
        <v>160</v>
      </c>
      <c r="K5" s="9">
        <v>185</v>
      </c>
      <c r="L5" s="9">
        <v>195</v>
      </c>
    </row>
    <row r="6" spans="2:12" ht="25.5" customHeight="1">
      <c r="B6" s="8" t="s">
        <v>80</v>
      </c>
      <c r="C6" s="9">
        <v>95</v>
      </c>
      <c r="D6" s="9">
        <v>108</v>
      </c>
      <c r="E6" s="9">
        <v>101</v>
      </c>
      <c r="F6" s="9">
        <v>120</v>
      </c>
      <c r="G6" s="9">
        <v>115</v>
      </c>
      <c r="H6" s="9">
        <v>130</v>
      </c>
      <c r="I6" s="9">
        <v>142</v>
      </c>
      <c r="J6" s="9">
        <v>125</v>
      </c>
      <c r="K6" s="9">
        <v>148</v>
      </c>
      <c r="L6" s="9">
        <v>155</v>
      </c>
    </row>
    <row r="9" spans="2:12" ht="25.5" customHeight="1">
      <c r="B9">
        <f>HLOOKUP(K9,F9:L13,2,FALSE)</f>
        <v>20</v>
      </c>
      <c r="D9" s="5" t="s">
        <v>72</v>
      </c>
      <c r="F9" s="5" t="s">
        <v>0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  <c r="L9" s="5" t="s">
        <v>73</v>
      </c>
    </row>
    <row r="10" spans="2:12" ht="25.5" customHeight="1">
      <c r="D10" s="6">
        <f>HLOOKUP(D9,$F$9:$L$13,2,FALSE)</f>
        <v>20</v>
      </c>
      <c r="F10" s="6" t="s">
        <v>81</v>
      </c>
      <c r="G10" s="6">
        <v>15</v>
      </c>
      <c r="H10" s="6">
        <v>18</v>
      </c>
      <c r="I10" s="6">
        <v>22</v>
      </c>
      <c r="J10" s="6">
        <v>25</v>
      </c>
      <c r="K10" s="6">
        <v>20</v>
      </c>
      <c r="L10" s="6">
        <v>28</v>
      </c>
    </row>
    <row r="11" spans="2:12" ht="25.5" customHeight="1">
      <c r="D11" s="6">
        <f>HLOOKUP(D9,$F$9:$L$13,3,FALSE)</f>
        <v>30</v>
      </c>
      <c r="F11" s="6" t="s">
        <v>82</v>
      </c>
      <c r="G11" s="6">
        <v>20</v>
      </c>
      <c r="H11" s="6">
        <v>24</v>
      </c>
      <c r="I11" s="6">
        <v>19</v>
      </c>
      <c r="J11" s="6">
        <v>27</v>
      </c>
      <c r="K11" s="6">
        <v>30</v>
      </c>
      <c r="L11" s="6">
        <v>32</v>
      </c>
    </row>
    <row r="12" spans="2:12" ht="25.5" customHeight="1">
      <c r="D12" s="6">
        <f>HLOOKUP(D9,$F$9:$L$13,4,FALSE)</f>
        <v>42</v>
      </c>
      <c r="F12" s="6" t="s">
        <v>83</v>
      </c>
      <c r="G12" s="6">
        <v>35</v>
      </c>
      <c r="H12" s="6">
        <v>40</v>
      </c>
      <c r="I12" s="6">
        <v>38</v>
      </c>
      <c r="J12" s="6">
        <v>45</v>
      </c>
      <c r="K12" s="6">
        <v>42</v>
      </c>
      <c r="L12" s="6">
        <v>50</v>
      </c>
    </row>
    <row r="13" spans="2:12" ht="25.5" customHeight="1">
      <c r="D13" s="6">
        <f>HLOOKUP(D9,$F$9:$L$13,5,FALSE)</f>
        <v>58</v>
      </c>
      <c r="F13" s="6" t="s">
        <v>18</v>
      </c>
      <c r="G13" s="6">
        <v>50</v>
      </c>
      <c r="H13" s="6">
        <v>55</v>
      </c>
      <c r="I13" s="6">
        <v>52</v>
      </c>
      <c r="J13" s="6">
        <v>60</v>
      </c>
      <c r="K13" s="6">
        <v>58</v>
      </c>
      <c r="L13" s="6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9E53-9196-4788-9733-BAE491C50C97}">
  <dimension ref="B2:L18"/>
  <sheetViews>
    <sheetView topLeftCell="A12" workbookViewId="0">
      <selection activeCell="D26" sqref="D26:N27"/>
    </sheetView>
  </sheetViews>
  <sheetFormatPr defaultRowHeight="15"/>
  <cols>
    <col min="2" max="6" width="16.5703125" customWidth="1"/>
    <col min="8" max="8" width="20.5703125" customWidth="1"/>
    <col min="9" max="12" width="26.5703125" customWidth="1"/>
  </cols>
  <sheetData>
    <row r="2" spans="2:12" ht="27" customHeight="1">
      <c r="B2" s="1" t="s">
        <v>84</v>
      </c>
      <c r="C2" s="1" t="s">
        <v>0</v>
      </c>
      <c r="D2" s="1" t="s">
        <v>10</v>
      </c>
      <c r="E2" s="1" t="s">
        <v>1</v>
      </c>
      <c r="F2" s="1" t="s">
        <v>85</v>
      </c>
    </row>
    <row r="3" spans="2:12" ht="27" customHeight="1">
      <c r="B3" s="2" t="s">
        <v>86</v>
      </c>
      <c r="C3" s="2" t="s">
        <v>81</v>
      </c>
      <c r="D3" s="2" t="s">
        <v>16</v>
      </c>
      <c r="E3" s="2">
        <v>55000</v>
      </c>
      <c r="F3" s="2">
        <v>12</v>
      </c>
    </row>
    <row r="4" spans="2:12" ht="27" customHeight="1">
      <c r="B4" s="2" t="s">
        <v>87</v>
      </c>
      <c r="C4" s="2" t="s">
        <v>18</v>
      </c>
      <c r="D4" s="2" t="s">
        <v>88</v>
      </c>
      <c r="E4" s="2">
        <v>800</v>
      </c>
      <c r="F4" s="2">
        <v>35</v>
      </c>
    </row>
    <row r="5" spans="2:12" ht="27" customHeight="1">
      <c r="B5" s="2" t="s">
        <v>89</v>
      </c>
      <c r="C5" s="2" t="s">
        <v>83</v>
      </c>
      <c r="D5" s="2" t="s">
        <v>88</v>
      </c>
      <c r="E5" s="2">
        <v>1500</v>
      </c>
      <c r="F5" s="2">
        <v>20</v>
      </c>
    </row>
    <row r="6" spans="2:12" ht="27" customHeight="1">
      <c r="B6" s="2" t="s">
        <v>90</v>
      </c>
      <c r="C6" s="2" t="s">
        <v>82</v>
      </c>
      <c r="D6" s="2" t="s">
        <v>16</v>
      </c>
      <c r="E6" s="2">
        <v>12000</v>
      </c>
      <c r="F6" s="2">
        <v>8</v>
      </c>
    </row>
    <row r="7" spans="2:12" ht="27" customHeight="1">
      <c r="B7" s="2" t="s">
        <v>91</v>
      </c>
      <c r="C7" s="2" t="s">
        <v>92</v>
      </c>
      <c r="D7" s="2" t="s">
        <v>88</v>
      </c>
      <c r="E7" s="2">
        <v>2500</v>
      </c>
      <c r="F7" s="2">
        <v>15</v>
      </c>
    </row>
    <row r="8" spans="2:12" ht="27" customHeight="1">
      <c r="B8" s="2" t="s">
        <v>93</v>
      </c>
      <c r="C8" s="2" t="s">
        <v>94</v>
      </c>
      <c r="D8" s="2" t="s">
        <v>16</v>
      </c>
      <c r="E8" s="2">
        <v>9000</v>
      </c>
      <c r="F8" s="2">
        <v>6</v>
      </c>
    </row>
    <row r="9" spans="2:12" ht="27" customHeight="1">
      <c r="B9" s="2" t="s">
        <v>95</v>
      </c>
      <c r="C9" s="2" t="s">
        <v>96</v>
      </c>
      <c r="D9" s="2" t="s">
        <v>88</v>
      </c>
      <c r="E9" s="2">
        <v>3200</v>
      </c>
      <c r="F9" s="2">
        <v>10</v>
      </c>
    </row>
    <row r="10" spans="2:12" ht="27" customHeight="1">
      <c r="B10" s="2" t="s">
        <v>97</v>
      </c>
      <c r="C10" s="2" t="s">
        <v>98</v>
      </c>
      <c r="D10" s="2" t="s">
        <v>16</v>
      </c>
      <c r="E10" s="2">
        <v>22000</v>
      </c>
      <c r="F10" s="2">
        <v>7</v>
      </c>
    </row>
    <row r="11" spans="2:12" ht="27" customHeight="1">
      <c r="B11" s="2" t="s">
        <v>99</v>
      </c>
      <c r="C11" s="2" t="s">
        <v>100</v>
      </c>
      <c r="D11" s="2" t="s">
        <v>88</v>
      </c>
      <c r="E11" s="2">
        <v>1800</v>
      </c>
      <c r="F11" s="2">
        <v>18</v>
      </c>
    </row>
    <row r="12" spans="2:12" ht="27" customHeight="1">
      <c r="B12" s="2" t="s">
        <v>101</v>
      </c>
      <c r="C12" s="2" t="s">
        <v>102</v>
      </c>
      <c r="D12" s="2" t="s">
        <v>103</v>
      </c>
      <c r="E12" s="2">
        <v>700</v>
      </c>
      <c r="F12" s="2">
        <v>40</v>
      </c>
    </row>
    <row r="14" spans="2:12" ht="27" customHeight="1">
      <c r="H14" s="1" t="s">
        <v>104</v>
      </c>
      <c r="I14" s="1" t="s">
        <v>0</v>
      </c>
      <c r="J14" s="1" t="s">
        <v>10</v>
      </c>
      <c r="K14" s="1" t="s">
        <v>1</v>
      </c>
      <c r="L14" s="1" t="s">
        <v>85</v>
      </c>
    </row>
    <row r="15" spans="2:12" ht="27" customHeight="1">
      <c r="H15" s="2" t="s">
        <v>86</v>
      </c>
      <c r="I15" s="2" t="str">
        <f>IF(ISNA(VLOOKUP(H15,$B$2:$F$12,2,)), "Product Not Present", VLOOKUP(H15,$B$2:$F$12,2,))</f>
        <v>Laptop</v>
      </c>
      <c r="J15" s="2" t="str">
        <f>IF(ISNA(VLOOKUP(H15,$B$2:$F$12,3,)), "Category Not Present", VLOOKUP(H15,$B$2:$F$12,3,))</f>
        <v>Electronics</v>
      </c>
      <c r="K15" s="2">
        <f>IF(ISNA(VLOOKUP(H15,$B$2:$F$12,4,)), "Price Not Found", VLOOKUP(H15,$B$2:$F$12,4,))</f>
        <v>55000</v>
      </c>
      <c r="L15" s="2">
        <f>IF(ISNA(VLOOKUP(H15,$B$2:$F$12,5,)), "Stock Not Found", VLOOKUP(H15,$B$2:$F$12,5,))</f>
        <v>12</v>
      </c>
    </row>
    <row r="16" spans="2:12" ht="27" customHeight="1">
      <c r="H16" s="2" t="s">
        <v>95</v>
      </c>
      <c r="I16" s="2" t="str">
        <f t="shared" ref="I16:I18" si="0">IF(ISNA(VLOOKUP(H16,$B$2:$F$12,2,)), "Product Not Present", VLOOKUP(H16,$B$2:$F$12,2,))</f>
        <v>Webcam</v>
      </c>
      <c r="J16" s="2" t="str">
        <f t="shared" ref="J16:J18" si="1">IF(ISNA(VLOOKUP(H16,$B$2:$F$12,3,)), "Category Not Present", VLOOKUP(H16,$B$2:$F$12,3,))</f>
        <v>Accessories</v>
      </c>
      <c r="K16" s="2">
        <f t="shared" ref="K16:K18" si="2">IF(ISNA(VLOOKUP(H16,$B$2:$F$12,4,)), "Price Not Found", VLOOKUP(H16,$B$2:$F$12,4,))</f>
        <v>3200</v>
      </c>
      <c r="L16" s="2">
        <f t="shared" ref="L16:L19" si="3">IF(ISNA(VLOOKUP(H16,$B$2:$F$12,5,)), "Stock Not Found", VLOOKUP(H16,$B$2:$F$12,5,))</f>
        <v>10</v>
      </c>
    </row>
    <row r="17" spans="8:12" ht="27" customHeight="1">
      <c r="H17" s="2" t="s">
        <v>87</v>
      </c>
      <c r="I17" s="2" t="str">
        <f t="shared" si="0"/>
        <v>Mouse</v>
      </c>
      <c r="J17" s="2" t="str">
        <f t="shared" si="1"/>
        <v>Accessories</v>
      </c>
      <c r="K17" s="2">
        <f t="shared" si="2"/>
        <v>800</v>
      </c>
      <c r="L17" s="2">
        <f t="shared" si="3"/>
        <v>35</v>
      </c>
    </row>
    <row r="18" spans="8:12" ht="27" customHeight="1">
      <c r="H18" s="2" t="s">
        <v>105</v>
      </c>
      <c r="I18" s="2" t="str">
        <f t="shared" si="0"/>
        <v>Product Not Present</v>
      </c>
      <c r="J18" s="2" t="str">
        <f t="shared" si="1"/>
        <v>Category Not Present</v>
      </c>
      <c r="K18" s="2" t="str">
        <f t="shared" si="2"/>
        <v>Price Not Found</v>
      </c>
      <c r="L18" s="2" t="str">
        <f t="shared" si="3"/>
        <v>Stock 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2026-08-05T05:19:28Z</dcterms:created>
  <dcterms:modified xsi:type="dcterms:W3CDTF">2026-09-15T15:43:34Z</dcterms:modified>
  <cp:category/>
  <cp:contentStatus/>
</cp:coreProperties>
</file>