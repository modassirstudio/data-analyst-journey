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2456" documentId="11_E60897F41BE170836B02CE998F75CCDC64E183C8" xr6:coauthVersionLast="47" xr6:coauthVersionMax="47" xr10:uidLastSave="{2EBEB7CD-C5BE-45B5-92FD-AB6861318532}"/>
  <bookViews>
    <workbookView xWindow="240" yWindow="105" windowWidth="14805" windowHeight="8010" activeTab="7" xr2:uid="{00000000-000D-0000-FFFF-FFFF00000000}"/>
  </bookViews>
  <sheets>
    <sheet name="Cover_Page" sheetId="2" r:id="rId1"/>
    <sheet name="Raw_Data" sheetId="5" r:id="rId2"/>
    <sheet name="Pivot_Analysis - Week - 1" sheetId="7" state="hidden" r:id="rId3"/>
    <sheet name="Pivot_Analysis - Week -  2" sheetId="8" state="hidden" r:id="rId4"/>
    <sheet name="Pivot_Analysis - Week - 3" sheetId="9" state="hidden" r:id="rId5"/>
    <sheet name="Pivot_Analysis - Week - 4" sheetId="10" r:id="rId6"/>
    <sheet name="Pivot_Analysis - Week - 5" sheetId="11" r:id="rId7"/>
    <sheet name="Dashboard" sheetId="4" r:id="rId8"/>
  </sheets>
  <calcPr calcId="191028"/>
  <pivotCaches>
    <pivotCache cacheId="6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14" i="5" l="1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67" i="5"/>
  <c r="G168" i="5"/>
  <c r="G169" i="5"/>
  <c r="G170" i="5"/>
  <c r="G171" i="5"/>
  <c r="G172" i="5"/>
  <c r="G173" i="5"/>
  <c r="H167" i="5"/>
  <c r="H168" i="5"/>
  <c r="H169" i="5"/>
  <c r="H170" i="5"/>
  <c r="H171" i="5"/>
  <c r="H172" i="5"/>
  <c r="H173" i="5"/>
  <c r="I167" i="5"/>
  <c r="I168" i="5"/>
  <c r="I169" i="5"/>
  <c r="I170" i="5"/>
  <c r="I171" i="5"/>
  <c r="I172" i="5"/>
  <c r="I173" i="5"/>
  <c r="G160" i="5"/>
  <c r="G161" i="5"/>
  <c r="G162" i="5"/>
  <c r="G163" i="5"/>
  <c r="G164" i="5"/>
  <c r="G165" i="5"/>
  <c r="G166" i="5"/>
  <c r="H160" i="5"/>
  <c r="H161" i="5"/>
  <c r="H162" i="5"/>
  <c r="H163" i="5"/>
  <c r="H164" i="5"/>
  <c r="H165" i="5"/>
  <c r="H166" i="5"/>
  <c r="I160" i="5"/>
  <c r="I161" i="5"/>
  <c r="I162" i="5"/>
  <c r="I163" i="5"/>
  <c r="I164" i="5"/>
  <c r="I165" i="5"/>
  <c r="I166" i="5"/>
  <c r="G159" i="5"/>
  <c r="H159" i="5"/>
  <c r="I159" i="5"/>
  <c r="G152" i="5"/>
  <c r="G153" i="5"/>
  <c r="G154" i="5"/>
  <c r="G155" i="5"/>
  <c r="G156" i="5"/>
  <c r="G157" i="5"/>
  <c r="G158" i="5"/>
  <c r="H152" i="5"/>
  <c r="H153" i="5"/>
  <c r="H154" i="5"/>
  <c r="H155" i="5"/>
  <c r="H156" i="5"/>
  <c r="H157" i="5"/>
  <c r="H158" i="5"/>
  <c r="I152" i="5"/>
  <c r="I153" i="5"/>
  <c r="I154" i="5"/>
  <c r="I155" i="5"/>
  <c r="I156" i="5"/>
  <c r="I157" i="5"/>
  <c r="I158" i="5"/>
  <c r="G151" i="5"/>
  <c r="H151" i="5"/>
  <c r="I151" i="5"/>
  <c r="G150" i="5"/>
  <c r="H150" i="5"/>
  <c r="I150" i="5"/>
  <c r="G149" i="5"/>
  <c r="H149" i="5"/>
  <c r="I149" i="5"/>
  <c r="G148" i="5"/>
  <c r="H148" i="5"/>
  <c r="I148" i="5"/>
  <c r="G147" i="5"/>
  <c r="H147" i="5"/>
  <c r="I147" i="5"/>
  <c r="G146" i="5"/>
  <c r="H146" i="5"/>
  <c r="I146" i="5"/>
  <c r="G145" i="5"/>
  <c r="H145" i="5"/>
  <c r="I145" i="5"/>
  <c r="G144" i="5"/>
  <c r="H144" i="5"/>
  <c r="I144" i="5"/>
  <c r="G143" i="5"/>
  <c r="H143" i="5"/>
  <c r="I143" i="5"/>
  <c r="G141" i="5"/>
  <c r="G142" i="5"/>
  <c r="H141" i="5"/>
  <c r="H142" i="5"/>
  <c r="I141" i="5"/>
  <c r="I142" i="5"/>
  <c r="G140" i="5"/>
  <c r="H140" i="5"/>
  <c r="I140" i="5"/>
  <c r="G139" i="5"/>
  <c r="H139" i="5"/>
  <c r="I139" i="5"/>
  <c r="G138" i="5"/>
  <c r="H138" i="5"/>
  <c r="I138" i="5"/>
  <c r="G137" i="5"/>
  <c r="H137" i="5"/>
  <c r="I137" i="5"/>
  <c r="G136" i="5"/>
  <c r="H136" i="5"/>
  <c r="I136" i="5"/>
  <c r="G135" i="5"/>
  <c r="H135" i="5"/>
  <c r="I135" i="5"/>
  <c r="G134" i="5"/>
  <c r="H134" i="5"/>
  <c r="I134" i="5"/>
  <c r="G133" i="5"/>
  <c r="H133" i="5"/>
  <c r="I133" i="5"/>
  <c r="G132" i="5"/>
  <c r="H132" i="5"/>
  <c r="I132" i="5"/>
  <c r="G131" i="5"/>
  <c r="H131" i="5"/>
  <c r="I131" i="5"/>
  <c r="G130" i="5"/>
  <c r="H130" i="5"/>
  <c r="I130" i="5"/>
  <c r="G129" i="5"/>
  <c r="H129" i="5"/>
  <c r="I129" i="5"/>
  <c r="G128" i="5"/>
  <c r="H128" i="5"/>
  <c r="I128" i="5"/>
  <c r="G127" i="5"/>
  <c r="H127" i="5"/>
  <c r="I127" i="5"/>
  <c r="G126" i="5"/>
  <c r="H126" i="5"/>
  <c r="I126" i="5"/>
  <c r="G125" i="5"/>
  <c r="H125" i="5"/>
  <c r="I125" i="5"/>
  <c r="G124" i="5"/>
  <c r="H124" i="5"/>
  <c r="I124" i="5"/>
  <c r="G123" i="5"/>
  <c r="H123" i="5"/>
  <c r="I123" i="5"/>
  <c r="G122" i="5"/>
  <c r="H122" i="5"/>
  <c r="I122" i="5"/>
  <c r="G121" i="5"/>
  <c r="H121" i="5"/>
  <c r="I121" i="5"/>
  <c r="G120" i="5"/>
  <c r="H120" i="5"/>
  <c r="I120" i="5"/>
  <c r="G119" i="5"/>
  <c r="H119" i="5"/>
  <c r="I119" i="5"/>
  <c r="G118" i="5"/>
  <c r="H118" i="5"/>
  <c r="I118" i="5"/>
  <c r="G117" i="5"/>
  <c r="H117" i="5"/>
  <c r="I117" i="5"/>
  <c r="G116" i="5"/>
  <c r="H116" i="5"/>
  <c r="I116" i="5"/>
  <c r="G115" i="5"/>
  <c r="H115" i="5"/>
  <c r="I115" i="5"/>
  <c r="G114" i="5"/>
  <c r="H114" i="5"/>
  <c r="I114" i="5"/>
  <c r="G113" i="5"/>
  <c r="H113" i="5"/>
  <c r="I113" i="5"/>
  <c r="G112" i="5"/>
  <c r="H112" i="5"/>
  <c r="I112" i="5"/>
  <c r="G111" i="5"/>
  <c r="H111" i="5"/>
  <c r="I111" i="5"/>
  <c r="G110" i="5"/>
  <c r="H110" i="5"/>
  <c r="I110" i="5"/>
  <c r="G109" i="5"/>
  <c r="H109" i="5"/>
  <c r="I109" i="5"/>
  <c r="G108" i="5"/>
  <c r="H108" i="5"/>
  <c r="I108" i="5"/>
  <c r="G107" i="5"/>
  <c r="H107" i="5"/>
  <c r="I107" i="5"/>
  <c r="G106" i="5"/>
  <c r="H106" i="5"/>
  <c r="I106" i="5"/>
  <c r="G105" i="5"/>
  <c r="H105" i="5"/>
  <c r="I105" i="5"/>
  <c r="H104" i="5"/>
  <c r="G104" i="5"/>
  <c r="I104" i="5"/>
  <c r="G103" i="5"/>
  <c r="H103" i="5"/>
  <c r="I103" i="5"/>
  <c r="G102" i="5"/>
  <c r="H102" i="5"/>
  <c r="I102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G60" i="5"/>
  <c r="H60" i="5"/>
  <c r="I60" i="5"/>
  <c r="G59" i="5"/>
  <c r="H59" i="5"/>
  <c r="I59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G57" i="5"/>
  <c r="G58" i="5"/>
  <c r="H57" i="5"/>
  <c r="H58" i="5"/>
  <c r="H3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G3" i="5"/>
</calcChain>
</file>

<file path=xl/sharedStrings.xml><?xml version="1.0" encoding="utf-8"?>
<sst xmlns="http://schemas.openxmlformats.org/spreadsheetml/2006/main" count="910" uniqueCount="196">
  <si>
    <r>
      <rPr>
        <b/>
        <sz val="19"/>
        <color theme="0"/>
        <rFont val="Calibri"/>
        <scheme val="minor"/>
      </rPr>
      <t xml:space="preserve">SHOP SALES ANALYSIS REPORT
</t>
    </r>
    <r>
      <rPr>
        <b/>
        <sz val="18"/>
        <color theme="0"/>
        <rFont val="Calibri"/>
        <scheme val="minor"/>
      </rPr>
      <t>Weekly Sales &amp; Profit Performance</t>
    </r>
  </si>
  <si>
    <r>
      <rPr>
        <b/>
        <sz val="13"/>
        <color rgb="FF1F4E78"/>
        <rFont val="Calibri"/>
        <scheme val="minor"/>
      </rPr>
      <t xml:space="preserve">Prepared By :
</t>
    </r>
    <r>
      <rPr>
        <sz val="13"/>
        <color rgb="FF000000"/>
        <rFont val="Calibri"/>
        <scheme val="minor"/>
      </rPr>
      <t xml:space="preserve">Md Modassir
</t>
    </r>
    <r>
      <rPr>
        <sz val="13"/>
        <color rgb="FF1F4E78"/>
        <rFont val="Calibri"/>
        <scheme val="minor"/>
      </rPr>
      <t xml:space="preserve">
</t>
    </r>
    <r>
      <rPr>
        <b/>
        <sz val="13"/>
        <color rgb="FF1F4E78"/>
        <rFont val="Calibri"/>
        <scheme val="minor"/>
      </rPr>
      <t xml:space="preserve">Tools : 
</t>
    </r>
    <r>
      <rPr>
        <sz val="13"/>
        <color rgb="FF000000"/>
        <rFont val="Calibri"/>
        <scheme val="minor"/>
      </rPr>
      <t xml:space="preserve">Microsoft Excel
</t>
    </r>
    <r>
      <rPr>
        <b/>
        <sz val="13"/>
        <color rgb="FF1F4E78"/>
        <rFont val="Calibri"/>
        <scheme val="minor"/>
      </rPr>
      <t xml:space="preserve">
Objective : 
</t>
    </r>
    <r>
      <rPr>
        <sz val="13"/>
        <color rgb="FF000000"/>
        <rFont val="Calibri"/>
        <scheme val="minor"/>
      </rPr>
      <t xml:space="preserve">Analyze weekly sales and profit trends.
Idetify top-performing products.
Evaluate overall weekly business performance.
</t>
    </r>
    <r>
      <rPr>
        <b/>
        <sz val="13"/>
        <color rgb="FF1F4E78"/>
        <rFont val="Calibri"/>
        <scheme val="minor"/>
      </rPr>
      <t xml:space="preserve">
Data Source : 
</t>
    </r>
    <r>
      <rPr>
        <sz val="13"/>
        <color rgb="FF000000"/>
        <rFont val="Calibri"/>
        <scheme val="minor"/>
      </rPr>
      <t>Real Shop Sales Record.</t>
    </r>
  </si>
  <si>
    <t>WEEK 1: 03 Aug 2026 - 09 Aug 2026</t>
  </si>
  <si>
    <t>WEEK 2: 10 Aug 2026 - 16 Aug 2026</t>
  </si>
  <si>
    <t>WEEK 3: 17 Aug 2026 - 23 Aug 2026</t>
  </si>
  <si>
    <t>WEEK 4: 24 Aug 2026 - 30 Aug 2026</t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</si>
  <si>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3640.40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04 Aug 2026 ( Tuesday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Handpump</t>
    </r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</si>
  <si>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3083.40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12 Aug 2026 ( Wednesday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3/4" Cancilled</t>
    </r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</si>
  <si>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4049.40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22 Aug 2026 ( Saturday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1/2" Cancilled</t>
    </r>
  </si>
  <si>
    <r>
      <rPr>
        <b/>
        <sz val="12"/>
        <color rgb="FF1F4E78"/>
        <rFont val="Calibri"/>
        <scheme val="minor"/>
      </rPr>
      <t>Total Profit:</t>
    </r>
    <r>
      <rPr>
        <b/>
        <sz val="12"/>
        <color rgb="FF000000"/>
        <rFont val="Calibri"/>
        <scheme val="minor"/>
      </rPr>
      <t xml:space="preserve"> ₹ 4207.80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26 Aug 2026 (Wednesday)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Motor 1HP</t>
    </r>
  </si>
  <si>
    <t>WEEK 5: 31 Aug 2026 - 06 Sep 2026</t>
  </si>
  <si>
    <t>WEEK 6: 07 Sep 2026 - 13 Sep 2026</t>
  </si>
  <si>
    <t>WEEK 7: 13 Sep 2026 - 19 Sep 2026</t>
  </si>
  <si>
    <t>WEEK 8: 20 Sep 2026 - 26 Sep 2026</t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</si>
  <si>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4850.35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31 Aug 2026 ( Monday )
</t>
    </r>
    <r>
      <rPr>
        <b/>
        <sz val="12"/>
        <color rgb="FF1F4E78"/>
        <rFont val="Calibri"/>
        <scheme val="minor"/>
      </rPr>
      <t xml:space="preserve">
Top Product:</t>
    </r>
    <r>
      <rPr>
        <b/>
        <sz val="12"/>
        <color rgb="FF000000"/>
        <rFont val="Calibri"/>
        <scheme val="minor"/>
      </rPr>
      <t xml:space="preserve"> 3/4" Pipe</t>
    </r>
  </si>
  <si>
    <t>Total Profit:
Best Day:
Top Product</t>
  </si>
  <si>
    <t>Date</t>
  </si>
  <si>
    <t>Product</t>
  </si>
  <si>
    <t>Quantity</t>
  </si>
  <si>
    <t>Sell_Price</t>
  </si>
  <si>
    <t>Cost_Price</t>
  </si>
  <si>
    <t>Profit</t>
  </si>
  <si>
    <t>Day</t>
  </si>
  <si>
    <t>Week</t>
  </si>
  <si>
    <t>1" Pipe</t>
  </si>
  <si>
    <t>Loose Pipe</t>
  </si>
  <si>
    <t>1" Ball Valve</t>
  </si>
  <si>
    <t>Handpump</t>
  </si>
  <si>
    <t>Solvent 10ml</t>
  </si>
  <si>
    <t>Aree Blade</t>
  </si>
  <si>
    <t>Shower</t>
  </si>
  <si>
    <t>Tap</t>
  </si>
  <si>
    <t>3" Bocket</t>
  </si>
  <si>
    <t>4" Pipe</t>
  </si>
  <si>
    <t>4" Coupler</t>
  </si>
  <si>
    <t>4" Band</t>
  </si>
  <si>
    <t>4" Tee</t>
  </si>
  <si>
    <t>Solvent PVC</t>
  </si>
  <si>
    <t>M-Seal</t>
  </si>
  <si>
    <t>Tank Cover</t>
  </si>
  <si>
    <t>3" Pipe</t>
  </si>
  <si>
    <t>3" Coupler</t>
  </si>
  <si>
    <t>3" Band</t>
  </si>
  <si>
    <t>3" Tee</t>
  </si>
  <si>
    <t>3" Hook</t>
  </si>
  <si>
    <t>3" End Cap</t>
  </si>
  <si>
    <t>Angle Cock</t>
  </si>
  <si>
    <t>Connection Pipe</t>
  </si>
  <si>
    <t>Stand Besin</t>
  </si>
  <si>
    <t>Waste Pipe</t>
  </si>
  <si>
    <t>1/2"x12" Nepul</t>
  </si>
  <si>
    <t>White Cement</t>
  </si>
  <si>
    <t>1" Elbow</t>
  </si>
  <si>
    <t>1" Coupler</t>
  </si>
  <si>
    <t>Solvent</t>
  </si>
  <si>
    <t>PVC Hook</t>
  </si>
  <si>
    <t>Flusher</t>
  </si>
  <si>
    <t>Fan Hook</t>
  </si>
  <si>
    <t>4" Blade</t>
  </si>
  <si>
    <t>Long Tap</t>
  </si>
  <si>
    <t>1/2" Pipe</t>
  </si>
  <si>
    <t>5" Syphan</t>
  </si>
  <si>
    <t>1"x4" Nepul</t>
  </si>
  <si>
    <t>1½"x3/4" Rodiser</t>
  </si>
  <si>
    <t>1½"x6" Nepul</t>
  </si>
  <si>
    <t>3/4" Checkvalve</t>
  </si>
  <si>
    <t>3/4"x3" Nepul</t>
  </si>
  <si>
    <t>Suta</t>
  </si>
  <si>
    <t>Plumber Masala</t>
  </si>
  <si>
    <t>1/2" Check Valve</t>
  </si>
  <si>
    <t>1/2" B MTA</t>
  </si>
  <si>
    <t>Solvent 20ml</t>
  </si>
  <si>
    <t>Pump Handle</t>
  </si>
  <si>
    <t>Nut Bolt</t>
  </si>
  <si>
    <t>PVC Solvent</t>
  </si>
  <si>
    <t>3/4" Pipe</t>
  </si>
  <si>
    <t>3/4" Elbow</t>
  </si>
  <si>
    <t>3/4" Union</t>
  </si>
  <si>
    <t>Solvent 100ml</t>
  </si>
  <si>
    <t>3/4" PVC Hook</t>
  </si>
  <si>
    <t>Steel Tap</t>
  </si>
  <si>
    <t>Hand Shower</t>
  </si>
  <si>
    <t>3/4" Cancilled</t>
  </si>
  <si>
    <t>Teplon</t>
  </si>
  <si>
    <t>1/2" Plug</t>
  </si>
  <si>
    <t>1/2" Connection Pipe</t>
  </si>
  <si>
    <t>Steel Angle Cock</t>
  </si>
  <si>
    <t>3/4"x1/2" B Elbow</t>
  </si>
  <si>
    <t>1"x3/4" Buss</t>
  </si>
  <si>
    <t>1" MTA</t>
  </si>
  <si>
    <t>1" Union</t>
  </si>
  <si>
    <t>3/4" Ball Valve</t>
  </si>
  <si>
    <t>3" Y Tee</t>
  </si>
  <si>
    <t>3" Half Band</t>
  </si>
  <si>
    <t>3" Jali</t>
  </si>
  <si>
    <t>5" Blade</t>
  </si>
  <si>
    <t>Seat</t>
  </si>
  <si>
    <t>5"x4" Syphan</t>
  </si>
  <si>
    <t>Sypahn Baser</t>
  </si>
  <si>
    <t>Solvent 50ml</t>
  </si>
  <si>
    <t>3" Gold Plenjer</t>
  </si>
  <si>
    <t>1" Tee</t>
  </si>
  <si>
    <t>1" Loose Pipe</t>
  </si>
  <si>
    <t>Jointer</t>
  </si>
  <si>
    <t>1" Clip</t>
  </si>
  <si>
    <t>3/4" Coupler</t>
  </si>
  <si>
    <t>1/2" Ferul</t>
  </si>
  <si>
    <t>3/4"x1/2" B FTA</t>
  </si>
  <si>
    <t>Motor</t>
  </si>
  <si>
    <t>Pillar Cock</t>
  </si>
  <si>
    <t>Waste Coupling</t>
  </si>
  <si>
    <t>Faster Nut</t>
  </si>
  <si>
    <t>6" Pipe</t>
  </si>
  <si>
    <t>6" Band</t>
  </si>
  <si>
    <t>6" Hook</t>
  </si>
  <si>
    <t>6"x5" Syphan</t>
  </si>
  <si>
    <t>4" Y Tee</t>
  </si>
  <si>
    <t>4" Half Band</t>
  </si>
  <si>
    <t>4" Hook</t>
  </si>
  <si>
    <t>1/2" Cancilled</t>
  </si>
  <si>
    <t>Brass Shower</t>
  </si>
  <si>
    <t>Sink Cock</t>
  </si>
  <si>
    <t>4"x3" Coupler</t>
  </si>
  <si>
    <t>3/4" Check Valve</t>
  </si>
  <si>
    <t>1"×3/4" Buss</t>
  </si>
  <si>
    <t>3/4 " Elbow</t>
  </si>
  <si>
    <t>Solvent 40ml</t>
  </si>
  <si>
    <t>3/4"×1/2" B Elbow</t>
  </si>
  <si>
    <t>Clip</t>
  </si>
  <si>
    <t>Motor 1HP</t>
  </si>
  <si>
    <t>GI Hook</t>
  </si>
  <si>
    <t>Loha Brush</t>
  </si>
  <si>
    <t>3/4" Ferul</t>
  </si>
  <si>
    <t>3/4" B FTA</t>
  </si>
  <si>
    <t>1"×3/4" Tee</t>
  </si>
  <si>
    <t>1"×3/4" Elbow</t>
  </si>
  <si>
    <t>1"×3/4" Coupler</t>
  </si>
  <si>
    <t>1"×1/2" B Elbow</t>
  </si>
  <si>
    <t>1"×1/2" B Tee</t>
  </si>
  <si>
    <t>Wash Besin</t>
  </si>
  <si>
    <t>Waste Couplin</t>
  </si>
  <si>
    <t>1"×12" Nepul</t>
  </si>
  <si>
    <t>Wash Besin Tap</t>
  </si>
  <si>
    <t>4" Nehali Trap</t>
  </si>
  <si>
    <t>Sit (Hindware)</t>
  </si>
  <si>
    <t>2 in 1 Diverter</t>
  </si>
  <si>
    <t>1" Baipass</t>
  </si>
  <si>
    <t>3/4" Baipass</t>
  </si>
  <si>
    <t>3/4" 45° Elbow</t>
  </si>
  <si>
    <t>3" Elbow</t>
  </si>
  <si>
    <t>4" Cut Jali</t>
  </si>
  <si>
    <t>1/2" Loose Pipe</t>
  </si>
  <si>
    <t>3/4"×1/2" B FTA</t>
  </si>
  <si>
    <t>Motor 1/2HP</t>
  </si>
  <si>
    <t>3" Baser</t>
  </si>
  <si>
    <t>4" Elbow</t>
  </si>
  <si>
    <t>Toilet Seat</t>
  </si>
  <si>
    <t>5"×4" Jointer</t>
  </si>
  <si>
    <t>Cream</t>
  </si>
  <si>
    <t>Week 1</t>
  </si>
  <si>
    <t>Daily Profit</t>
  </si>
  <si>
    <t>Total Profit</t>
  </si>
  <si>
    <t>Units Sold</t>
  </si>
  <si>
    <t>Grand Total</t>
  </si>
  <si>
    <t>Week 2</t>
  </si>
  <si>
    <t>Week 3</t>
  </si>
  <si>
    <t>Sum of Quantity</t>
  </si>
  <si>
    <t>Week 4</t>
  </si>
  <si>
    <t>Week 5</t>
  </si>
  <si>
    <r>
      <rPr>
        <b/>
        <sz val="32"/>
        <color rgb="FF000000"/>
        <rFont val="Calibri"/>
        <scheme val="minor"/>
      </rPr>
      <t xml:space="preserve">SHOP SALES PERFORMANCE DASHBOARD
</t>
    </r>
    <r>
      <rPr>
        <b/>
        <sz val="28"/>
        <color rgb="FF000000"/>
        <rFont val="Calibri"/>
        <scheme val="minor"/>
      </rPr>
      <t>Weekly Sales, Profit and Product Analysis</t>
    </r>
  </si>
  <si>
    <t>Week 1 
03 Aug - 09 Aug</t>
  </si>
  <si>
    <t>Total Profit
₹ 3640.40</t>
  </si>
  <si>
    <t>Top Product (Profit)
Handpump</t>
  </si>
  <si>
    <t>Avg. Profit
₹ 520.06</t>
  </si>
  <si>
    <t>Best Day
04-08-2026</t>
  </si>
  <si>
    <t>Week 2
10 Aug - 16 Aug</t>
  </si>
  <si>
    <t>Total Profit
₹ 3083.40</t>
  </si>
  <si>
    <t>Top Product (Profit)
3/4" Cancilled</t>
  </si>
  <si>
    <t>Avg. Profit
₹ 440.49</t>
  </si>
  <si>
    <t>Best Day
12-08-2026</t>
  </si>
  <si>
    <t>Week 3 
17 Aug - 23 Aug</t>
  </si>
  <si>
    <t>Total Profit
₹ 4049.40</t>
  </si>
  <si>
    <t>Top Product (Profit)
1/2" Cancilled</t>
  </si>
  <si>
    <t>Avg. Profit
₹ 578.49</t>
  </si>
  <si>
    <t>Best Day
22-08-2026</t>
  </si>
  <si>
    <t>Week 4
24 Aug - 30 Aug</t>
  </si>
  <si>
    <t>Total Profit
₹ 4207.80</t>
  </si>
  <si>
    <t>Top Product (Profit)
Motor 1HP</t>
  </si>
  <si>
    <t>Avg. Profit
₹ 601.11</t>
  </si>
  <si>
    <t>Best Day
26-08-2026</t>
  </si>
  <si>
    <t>Week 5 
31 Aug - 06 Sep</t>
  </si>
  <si>
    <t>Total Profit
₹ 4850.35</t>
  </si>
  <si>
    <t>Top Product (Profit)
3/4" Pipe</t>
  </si>
  <si>
    <t>Avg. Profit
₹ 692.91</t>
  </si>
  <si>
    <t>Best Day
31-08-2026</t>
  </si>
  <si>
    <t>Week 5 
07 Sep - 13 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</si>
</sst>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2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2"/>
      <color rgb="FF1F4E78"/>
      <name val="Calibri"/>
      <scheme val="minor"/>
    </font>
    <font>
      <b/>
      <sz val="16"/>
      <color theme="0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20"/>
      <color theme="0"/>
      <name val="Calibri"/>
      <scheme val="minor"/>
    </font>
    <font>
      <b/>
      <sz val="19"/>
      <color theme="0"/>
      <name val="Calibri"/>
      <scheme val="minor"/>
    </font>
    <font>
      <b/>
      <sz val="18"/>
      <color theme="0"/>
      <name val="Calibri"/>
      <scheme val="minor"/>
    </font>
    <font>
      <b/>
      <sz val="13"/>
      <color rgb="FF1F4E78"/>
      <name val="Calibri"/>
      <scheme val="minor"/>
    </font>
    <font>
      <sz val="13"/>
      <color rgb="FF000000"/>
      <name val="Calibri"/>
      <scheme val="minor"/>
    </font>
    <font>
      <sz val="13"/>
      <color rgb="FF1F4E78"/>
      <name val="Calibri"/>
      <scheme val="minor"/>
    </font>
    <font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2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36"/>
      <color rgb="FF000000"/>
      <name val="Calibri"/>
      <scheme val="minor"/>
    </font>
    <font>
      <sz val="13"/>
      <color rgb="FF000000"/>
      <name val="Calibri"/>
      <family val="2"/>
      <charset val="1"/>
    </font>
    <font>
      <sz val="13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/>
      <top/>
      <bottom/>
      <diagonal/>
    </border>
    <border>
      <left/>
      <right style="medium">
        <color rgb="FFB7B7B7"/>
      </right>
      <top/>
      <bottom/>
      <diagonal/>
    </border>
    <border>
      <left style="medium">
        <color rgb="FFB7B7B7"/>
      </left>
      <right/>
      <top/>
      <bottom style="medium">
        <color rgb="FFB7B7B7"/>
      </bottom>
      <diagonal/>
    </border>
    <border>
      <left/>
      <right/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medium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/>
    <xf numFmtId="14" fontId="2" fillId="2" borderId="33" xfId="0" applyNumberFormat="1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1" fontId="2" fillId="2" borderId="33" xfId="0" applyNumberFormat="1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14" fontId="2" fillId="2" borderId="35" xfId="0" applyNumberFormat="1" applyFont="1" applyFill="1" applyBorder="1" applyAlignment="1">
      <alignment horizontal="center" vertical="center"/>
    </xf>
    <xf numFmtId="164" fontId="2" fillId="2" borderId="35" xfId="0" applyNumberFormat="1" applyFont="1" applyFill="1" applyBorder="1" applyAlignment="1">
      <alignment horizontal="center" vertical="center"/>
    </xf>
    <xf numFmtId="14" fontId="2" fillId="2" borderId="36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64" fontId="1" fillId="2" borderId="41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4" fontId="2" fillId="2" borderId="32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164" fontId="2" fillId="2" borderId="4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164" fontId="2" fillId="2" borderId="46" xfId="0" applyNumberFormat="1" applyFont="1" applyFill="1" applyBorder="1" applyAlignment="1">
      <alignment horizontal="center" vertical="center"/>
    </xf>
    <xf numFmtId="164" fontId="2" fillId="2" borderId="44" xfId="0" applyNumberFormat="1" applyFont="1" applyFill="1" applyBorder="1" applyAlignment="1">
      <alignment horizontal="center" vertical="center"/>
    </xf>
    <xf numFmtId="164" fontId="2" fillId="2" borderId="45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47" xfId="0" applyNumberFormat="1" applyFont="1" applyFill="1" applyBorder="1" applyAlignment="1">
      <alignment horizontal="center" vertical="center"/>
    </xf>
    <xf numFmtId="164" fontId="2" fillId="2" borderId="48" xfId="0" applyNumberFormat="1" applyFont="1" applyFill="1" applyBorder="1" applyAlignment="1">
      <alignment horizontal="center" vertical="center"/>
    </xf>
    <xf numFmtId="164" fontId="2" fillId="2" borderId="49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64" fontId="19" fillId="0" borderId="32" xfId="0" applyNumberFormat="1" applyFont="1" applyBorder="1" applyAlignment="1">
      <alignment horizontal="left" vertical="center" indent="10"/>
    </xf>
    <xf numFmtId="14" fontId="19" fillId="0" borderId="1" xfId="0" applyNumberFormat="1" applyFont="1" applyBorder="1"/>
    <xf numFmtId="0" fontId="19" fillId="0" borderId="0" xfId="0" pivotButton="1" applyFont="1" applyAlignment="1">
      <alignment horizontal="left" indent="1"/>
    </xf>
    <xf numFmtId="0" fontId="0" fillId="0" borderId="1" xfId="0" pivotButton="1" applyBorder="1"/>
    <xf numFmtId="0" fontId="0" fillId="0" borderId="1" xfId="0" applyBorder="1"/>
    <xf numFmtId="0" fontId="0" fillId="0" borderId="1" xfId="0" pivotButton="1" applyBorder="1" applyAlignment="1">
      <alignment horizontal="left" indent="1"/>
    </xf>
    <xf numFmtId="0" fontId="19" fillId="0" borderId="1" xfId="0" applyNumberFormat="1" applyFont="1" applyBorder="1" applyAlignment="1">
      <alignment horizontal="right" vertical="center" indent="3"/>
    </xf>
    <xf numFmtId="0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164" fontId="2" fillId="2" borderId="50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45" xfId="0" applyNumberFormat="1" applyFont="1" applyFill="1" applyBorder="1" applyAlignment="1">
      <alignment horizontal="center" vertical="center"/>
    </xf>
    <xf numFmtId="164" fontId="2" fillId="2" borderId="51" xfId="0" applyNumberFormat="1" applyFont="1" applyFill="1" applyBorder="1" applyAlignment="1">
      <alignment horizontal="center" vertical="center"/>
    </xf>
    <xf numFmtId="14" fontId="2" fillId="2" borderId="50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1" fontId="2" fillId="2" borderId="52" xfId="0" applyNumberFormat="1" applyFont="1" applyFill="1" applyBorder="1" applyAlignment="1">
      <alignment horizontal="center" vertical="center"/>
    </xf>
    <xf numFmtId="164" fontId="2" fillId="2" borderId="52" xfId="0" applyNumberFormat="1" applyFont="1" applyFill="1" applyBorder="1" applyAlignment="1">
      <alignment horizontal="center" vertical="center"/>
    </xf>
    <xf numFmtId="0" fontId="2" fillId="2" borderId="53" xfId="0" applyNumberFormat="1" applyFont="1" applyFill="1" applyBorder="1" applyAlignment="1">
      <alignment horizontal="center" vertical="center"/>
    </xf>
    <xf numFmtId="0" fontId="19" fillId="0" borderId="0" xfId="0" pivotButton="1" applyFont="1"/>
    <xf numFmtId="0" fontId="19" fillId="0" borderId="0" xfId="0" applyFont="1"/>
    <xf numFmtId="164" fontId="19" fillId="0" borderId="32" xfId="0" applyNumberFormat="1" applyFont="1" applyBorder="1" applyAlignment="1">
      <alignment horizontal="left" vertical="center" indent="8"/>
    </xf>
    <xf numFmtId="0" fontId="19" fillId="0" borderId="32" xfId="0" applyFont="1" applyBorder="1" applyAlignment="1">
      <alignment horizontal="left" vertical="center" indent="1"/>
    </xf>
    <xf numFmtId="0" fontId="19" fillId="0" borderId="32" xfId="0" applyFont="1" applyBorder="1" applyAlignment="1">
      <alignment horizontal="right" vertical="center" indent="2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left" vertical="center" indent="2"/>
    </xf>
    <xf numFmtId="0" fontId="0" fillId="0" borderId="1" xfId="0" pivotButton="1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vertical="center" indent="3"/>
    </xf>
    <xf numFmtId="164" fontId="0" fillId="0" borderId="1" xfId="0" applyNumberFormat="1" applyBorder="1" applyAlignment="1">
      <alignment horizontal="center" vertical="center" indent="5"/>
    </xf>
    <xf numFmtId="0" fontId="2" fillId="2" borderId="50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wrapText="1" indent="2"/>
    </xf>
    <xf numFmtId="0" fontId="3" fillId="4" borderId="5" xfId="0" applyFont="1" applyFill="1" applyBorder="1" applyAlignment="1">
      <alignment horizontal="left" vertical="center" wrapText="1" indent="2"/>
    </xf>
    <xf numFmtId="0" fontId="3" fillId="4" borderId="6" xfId="0" applyFont="1" applyFill="1" applyBorder="1" applyAlignment="1">
      <alignment horizontal="left" vertical="center" wrapText="1" indent="2"/>
    </xf>
    <xf numFmtId="0" fontId="3" fillId="4" borderId="7" xfId="0" applyFont="1" applyFill="1" applyBorder="1" applyAlignment="1">
      <alignment horizontal="left" vertical="center" wrapText="1" indent="2"/>
    </xf>
    <xf numFmtId="0" fontId="3" fillId="4" borderId="0" xfId="0" applyFont="1" applyFill="1" applyBorder="1" applyAlignment="1">
      <alignment horizontal="left" vertical="center" wrapText="1" indent="2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 indent="2"/>
    </xf>
    <xf numFmtId="0" fontId="3" fillId="4" borderId="10" xfId="0" applyFont="1" applyFill="1" applyBorder="1" applyAlignment="1">
      <alignment horizontal="left" vertical="center" wrapText="1" indent="2"/>
    </xf>
    <xf numFmtId="0" fontId="3" fillId="4" borderId="11" xfId="0" applyFont="1" applyFill="1" applyBorder="1" applyAlignment="1">
      <alignment horizontal="left" vertical="center" wrapText="1" indent="2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 indent="2"/>
    </xf>
    <xf numFmtId="0" fontId="5" fillId="4" borderId="8" xfId="0" applyFont="1" applyFill="1" applyBorder="1" applyAlignment="1">
      <alignment horizontal="left" vertical="center" wrapText="1" indent="2"/>
    </xf>
    <xf numFmtId="0" fontId="5" fillId="4" borderId="7" xfId="0" applyFont="1" applyFill="1" applyBorder="1" applyAlignment="1">
      <alignment horizontal="left" vertical="center" wrapText="1" indent="2"/>
    </xf>
    <xf numFmtId="0" fontId="5" fillId="4" borderId="9" xfId="0" applyFont="1" applyFill="1" applyBorder="1" applyAlignment="1">
      <alignment horizontal="left" vertical="center" wrapText="1" indent="2"/>
    </xf>
    <xf numFmtId="0" fontId="5" fillId="4" borderId="10" xfId="0" applyFont="1" applyFill="1" applyBorder="1" applyAlignment="1">
      <alignment horizontal="left" vertical="center" wrapText="1" indent="2"/>
    </xf>
    <xf numFmtId="0" fontId="5" fillId="4" borderId="11" xfId="0" applyFont="1" applyFill="1" applyBorder="1" applyAlignment="1">
      <alignment horizontal="left" vertical="center" wrapText="1" indent="2"/>
    </xf>
    <xf numFmtId="0" fontId="3" fillId="4" borderId="4" xfId="0" applyFont="1" applyFill="1" applyBorder="1" applyAlignment="1">
      <alignment horizontal="left" vertical="center" wrapText="1" indent="2"/>
    </xf>
    <xf numFmtId="0" fontId="5" fillId="4" borderId="5" xfId="0" applyFont="1" applyFill="1" applyBorder="1" applyAlignment="1">
      <alignment horizontal="left" vertical="center" wrapText="1" indent="2"/>
    </xf>
    <xf numFmtId="0" fontId="5" fillId="4" borderId="6" xfId="0" applyFont="1" applyFill="1" applyBorder="1" applyAlignment="1">
      <alignment horizontal="left" vertical="center" wrapText="1" indent="2"/>
    </xf>
    <xf numFmtId="0" fontId="5" fillId="4" borderId="4" xfId="0" applyFont="1" applyFill="1" applyBorder="1" applyAlignment="1">
      <alignment horizontal="left" vertical="center" wrapText="1" indent="2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2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border outline="0">
        <top style="medium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center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z val="13"/>
      </font>
    </dxf>
    <dxf>
      <alignment horizontal="right"/>
    </dxf>
    <dxf>
      <alignment relativeIndent="1"/>
    </dxf>
    <dxf>
      <alignment relativeIndent="1"/>
    </dxf>
    <dxf>
      <alignment relativeIndent="1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horizontal="left"/>
    </dxf>
    <dxf>
      <alignment horizontal="left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right"/>
    </dxf>
    <dxf>
      <alignment relativeIndent="1"/>
    </dxf>
    <dxf>
      <alignment relativeIndent="1"/>
    </dxf>
    <dxf>
      <alignment relativeIndent="1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vertical="center"/>
    </dxf>
    <dxf>
      <alignment vertical="center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horizontal="right"/>
    </dxf>
    <dxf>
      <alignment relativeIndent="1"/>
    </dxf>
    <dxf>
      <alignment relativeInden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</dxfs>
  <tableStyles count="0" defaultTableStyle="TableStyleMedium2" defaultPivotStyle="PivotStyleMedium9"/>
  <colors>
    <mruColors>
      <color rgb="FFB7B7B7"/>
      <color rgb="FFEAF3F8"/>
      <color rgb="FF6395C2"/>
      <color rgb="FF1F4E78"/>
      <color rgb="FFF4C95D"/>
      <color rgb="FFF2C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- 1'!$F$4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- 1'!$E$5:$E$12</c:f>
              <c:strCache>
                <c:ptCount val="7"/>
                <c:pt idx="0">
                  <c:v>03/08/2026</c:v>
                </c:pt>
                <c:pt idx="1">
                  <c:v>04/08/2026</c:v>
                </c:pt>
                <c:pt idx="2">
                  <c:v>05/08/2026</c:v>
                </c:pt>
                <c:pt idx="3">
                  <c:v>06/08/2026</c:v>
                </c:pt>
                <c:pt idx="4">
                  <c:v>07/08/2026</c:v>
                </c:pt>
                <c:pt idx="5">
                  <c:v>08/08/2026</c:v>
                </c:pt>
                <c:pt idx="6">
                  <c:v>09/08/2026</c:v>
                </c:pt>
              </c:strCache>
            </c:strRef>
          </c:cat>
          <c:val>
            <c:numRef>
              <c:f>'Pivot_Analysis - Week - 1'!$F$5:$F$12</c:f>
              <c:numCache>
                <c:formatCode>[$₹-439]#,##0.00</c:formatCode>
                <c:ptCount val="7"/>
                <c:pt idx="0">
                  <c:v>562.20000000000005</c:v>
                </c:pt>
                <c:pt idx="1">
                  <c:v>683</c:v>
                </c:pt>
                <c:pt idx="2">
                  <c:v>272</c:v>
                </c:pt>
                <c:pt idx="3">
                  <c:v>558</c:v>
                </c:pt>
                <c:pt idx="4">
                  <c:v>601.5</c:v>
                </c:pt>
                <c:pt idx="5">
                  <c:v>399.4</c:v>
                </c:pt>
                <c:pt idx="6">
                  <c:v>564.29999999999995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C-4900-B8E7-7F7C64B9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108999"/>
        <c:axId val="513142791"/>
      </c:lineChart>
      <c:catAx>
        <c:axId val="51310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42791"/>
        <c:crosses val="autoZero"/>
        <c:auto val="1"/>
        <c:lblAlgn val="ctr"/>
        <c:lblOffset val="100"/>
        <c:noMultiLvlLbl val="0"/>
      </c:catAx>
      <c:valAx>
        <c:axId val="513142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08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- 1'!$N$5:$N$50</c:f>
              <c:strCache>
                <c:ptCount val="45"/>
                <c:pt idx="0">
                  <c:v>Handpump</c:v>
                </c:pt>
                <c:pt idx="1">
                  <c:v>Tank Cover</c:v>
                </c:pt>
                <c:pt idx="2">
                  <c:v>Stand Besin</c:v>
                </c:pt>
                <c:pt idx="3">
                  <c:v>1" Pipe</c:v>
                </c:pt>
                <c:pt idx="4">
                  <c:v>Flusher</c:v>
                </c:pt>
                <c:pt idx="5">
                  <c:v>4" Pipe</c:v>
                </c:pt>
                <c:pt idx="6">
                  <c:v>Tap</c:v>
                </c:pt>
                <c:pt idx="7">
                  <c:v>Loose Pipe</c:v>
                </c:pt>
                <c:pt idx="8">
                  <c:v>1" Elbow</c:v>
                </c:pt>
                <c:pt idx="9">
                  <c:v>1/2"x12" Nepul</c:v>
                </c:pt>
                <c:pt idx="10">
                  <c:v>Connection Pipe</c:v>
                </c:pt>
                <c:pt idx="11">
                  <c:v>4" Band</c:v>
                </c:pt>
                <c:pt idx="12">
                  <c:v>Solvent</c:v>
                </c:pt>
                <c:pt idx="13">
                  <c:v>Long Tap</c:v>
                </c:pt>
                <c:pt idx="14">
                  <c:v>4" Coupler</c:v>
                </c:pt>
                <c:pt idx="15">
                  <c:v>3/4" Checkvalve</c:v>
                </c:pt>
                <c:pt idx="16">
                  <c:v>Shower</c:v>
                </c:pt>
                <c:pt idx="17">
                  <c:v>3" Pipe</c:v>
                </c:pt>
                <c:pt idx="18">
                  <c:v>Solvent 10ml</c:v>
                </c:pt>
                <c:pt idx="19">
                  <c:v>3" Coupler</c:v>
                </c:pt>
                <c:pt idx="20">
                  <c:v>1/2" Pipe</c:v>
                </c:pt>
                <c:pt idx="21">
                  <c:v>1" Ball Valve</c:v>
                </c:pt>
                <c:pt idx="22">
                  <c:v>PVC Hook</c:v>
                </c:pt>
                <c:pt idx="23">
                  <c:v>3" Band</c:v>
                </c:pt>
                <c:pt idx="24">
                  <c:v>Angle Cock</c:v>
                </c:pt>
                <c:pt idx="25">
                  <c:v>1½"x3/4" Rodiser</c:v>
                </c:pt>
                <c:pt idx="26">
                  <c:v>5" Syphan</c:v>
                </c:pt>
                <c:pt idx="27">
                  <c:v>Waste Pipe</c:v>
                </c:pt>
                <c:pt idx="28">
                  <c:v>1½"x6" Nepul</c:v>
                </c:pt>
                <c:pt idx="29">
                  <c:v>3" Tee</c:v>
                </c:pt>
                <c:pt idx="30">
                  <c:v>3" End Cap</c:v>
                </c:pt>
                <c:pt idx="31">
                  <c:v>Fan Hook</c:v>
                </c:pt>
                <c:pt idx="32">
                  <c:v>4" Tee</c:v>
                </c:pt>
                <c:pt idx="33">
                  <c:v>Solvent PVC</c:v>
                </c:pt>
                <c:pt idx="34">
                  <c:v>White Cement</c:v>
                </c:pt>
                <c:pt idx="35">
                  <c:v>1" Coupler</c:v>
                </c:pt>
                <c:pt idx="36">
                  <c:v>3" Hook</c:v>
                </c:pt>
                <c:pt idx="37">
                  <c:v>1"x4" Nepul</c:v>
                </c:pt>
                <c:pt idx="38">
                  <c:v>4" Blade</c:v>
                </c:pt>
                <c:pt idx="39">
                  <c:v>3/4"x3" Nepul</c:v>
                </c:pt>
                <c:pt idx="40">
                  <c:v>M-Seal</c:v>
                </c:pt>
                <c:pt idx="41">
                  <c:v>Plumber Masala</c:v>
                </c:pt>
                <c:pt idx="42">
                  <c:v>3" Bocket</c:v>
                </c:pt>
                <c:pt idx="43">
                  <c:v>Suta</c:v>
                </c:pt>
                <c:pt idx="44">
                  <c:v>Aree Blade</c:v>
                </c:pt>
              </c:strCache>
            </c:strRef>
          </c:cat>
          <c:val>
            <c:numRef>
              <c:f>'Pivot_Analysis - Week - 1'!$O$5:$O$50</c:f>
              <c:numCache>
                <c:formatCode>[$₹-439]#,##0.00</c:formatCode>
                <c:ptCount val="45"/>
                <c:pt idx="0">
                  <c:v>470</c:v>
                </c:pt>
                <c:pt idx="1">
                  <c:v>380</c:v>
                </c:pt>
                <c:pt idx="2">
                  <c:v>256</c:v>
                </c:pt>
                <c:pt idx="3">
                  <c:v>238</c:v>
                </c:pt>
                <c:pt idx="4">
                  <c:v>220</c:v>
                </c:pt>
                <c:pt idx="5">
                  <c:v>162</c:v>
                </c:pt>
                <c:pt idx="6">
                  <c:v>126</c:v>
                </c:pt>
                <c:pt idx="7">
                  <c:v>120</c:v>
                </c:pt>
                <c:pt idx="8">
                  <c:v>97.5</c:v>
                </c:pt>
                <c:pt idx="9">
                  <c:v>96</c:v>
                </c:pt>
                <c:pt idx="10">
                  <c:v>94</c:v>
                </c:pt>
                <c:pt idx="11">
                  <c:v>84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70</c:v>
                </c:pt>
                <c:pt idx="17">
                  <c:v>66</c:v>
                </c:pt>
                <c:pt idx="18">
                  <c:v>64</c:v>
                </c:pt>
                <c:pt idx="19">
                  <c:v>55</c:v>
                </c:pt>
                <c:pt idx="20">
                  <c:v>54</c:v>
                </c:pt>
                <c:pt idx="21">
                  <c:v>52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43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36</c:v>
                </c:pt>
                <c:pt idx="30">
                  <c:v>32</c:v>
                </c:pt>
                <c:pt idx="31">
                  <c:v>31.5</c:v>
                </c:pt>
                <c:pt idx="32">
                  <c:v>30</c:v>
                </c:pt>
                <c:pt idx="33">
                  <c:v>28</c:v>
                </c:pt>
                <c:pt idx="34">
                  <c:v>26</c:v>
                </c:pt>
                <c:pt idx="35">
                  <c:v>24</c:v>
                </c:pt>
                <c:pt idx="36">
                  <c:v>21</c:v>
                </c:pt>
                <c:pt idx="37">
                  <c:v>20</c:v>
                </c:pt>
                <c:pt idx="38">
                  <c:v>18.900000000000006</c:v>
                </c:pt>
                <c:pt idx="39">
                  <c:v>18</c:v>
                </c:pt>
                <c:pt idx="40">
                  <c:v>14</c:v>
                </c:pt>
                <c:pt idx="41">
                  <c:v>13.5</c:v>
                </c:pt>
                <c:pt idx="42">
                  <c:v>12</c:v>
                </c:pt>
                <c:pt idx="43">
                  <c:v>10.8</c:v>
                </c:pt>
                <c:pt idx="44">
                  <c:v>7.2000000000000028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4-4EF5-A89E-2E0EAEF4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510983"/>
        <c:axId val="1256513031"/>
      </c:barChart>
      <c:catAx>
        <c:axId val="125651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3031"/>
        <c:crosses val="autoZero"/>
        <c:auto val="1"/>
        <c:lblAlgn val="ctr"/>
        <c:lblOffset val="100"/>
        <c:noMultiLvlLbl val="0"/>
      </c:catAx>
      <c:valAx>
        <c:axId val="125651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0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- 1'!$X$5:$X$50</c:f>
              <c:strCache>
                <c:ptCount val="45"/>
                <c:pt idx="0">
                  <c:v>4" Blade</c:v>
                </c:pt>
                <c:pt idx="1">
                  <c:v>PVC Hook</c:v>
                </c:pt>
                <c:pt idx="2">
                  <c:v>1" Elbow</c:v>
                </c:pt>
                <c:pt idx="3">
                  <c:v>1" Pipe</c:v>
                </c:pt>
                <c:pt idx="4">
                  <c:v>Tap</c:v>
                </c:pt>
                <c:pt idx="5">
                  <c:v>Solvent 10ml</c:v>
                </c:pt>
                <c:pt idx="6">
                  <c:v>Aree Blade</c:v>
                </c:pt>
                <c:pt idx="7">
                  <c:v>1" Coupler</c:v>
                </c:pt>
                <c:pt idx="8">
                  <c:v>M-Seal</c:v>
                </c:pt>
                <c:pt idx="9">
                  <c:v>3" Band</c:v>
                </c:pt>
                <c:pt idx="10">
                  <c:v>4" Coupler</c:v>
                </c:pt>
                <c:pt idx="11">
                  <c:v>3" Hook</c:v>
                </c:pt>
                <c:pt idx="12">
                  <c:v>4" Pipe</c:v>
                </c:pt>
                <c:pt idx="13">
                  <c:v>3" Coupler</c:v>
                </c:pt>
                <c:pt idx="14">
                  <c:v>4" Band</c:v>
                </c:pt>
                <c:pt idx="15">
                  <c:v>Solvent PVC</c:v>
                </c:pt>
                <c:pt idx="16">
                  <c:v>1/2"x12" Nepul</c:v>
                </c:pt>
                <c:pt idx="17">
                  <c:v>3" Bocket</c:v>
                </c:pt>
                <c:pt idx="18">
                  <c:v>Suta</c:v>
                </c:pt>
                <c:pt idx="19">
                  <c:v>Tank Cover</c:v>
                </c:pt>
                <c:pt idx="20">
                  <c:v>Plumber Masala</c:v>
                </c:pt>
                <c:pt idx="21">
                  <c:v>1/2" Pipe</c:v>
                </c:pt>
                <c:pt idx="22">
                  <c:v>Fan Hook</c:v>
                </c:pt>
                <c:pt idx="23">
                  <c:v>Handpump</c:v>
                </c:pt>
                <c:pt idx="24">
                  <c:v>Stand Besin</c:v>
                </c:pt>
                <c:pt idx="25">
                  <c:v>3/4"x3" Nepul</c:v>
                </c:pt>
                <c:pt idx="26">
                  <c:v>Waste Pipe</c:v>
                </c:pt>
                <c:pt idx="27">
                  <c:v>3" End Cap</c:v>
                </c:pt>
                <c:pt idx="28">
                  <c:v>Connection Pipe</c:v>
                </c:pt>
                <c:pt idx="29">
                  <c:v>Angle Cock</c:v>
                </c:pt>
                <c:pt idx="30">
                  <c:v>1" Ball Valve</c:v>
                </c:pt>
                <c:pt idx="31">
                  <c:v>White Cement</c:v>
                </c:pt>
                <c:pt idx="32">
                  <c:v>3" Tee</c:v>
                </c:pt>
                <c:pt idx="33">
                  <c:v>Solvent</c:v>
                </c:pt>
                <c:pt idx="34">
                  <c:v>3" Pipe</c:v>
                </c:pt>
                <c:pt idx="35">
                  <c:v>Long Tap</c:v>
                </c:pt>
                <c:pt idx="36">
                  <c:v>4" Tee</c:v>
                </c:pt>
                <c:pt idx="37">
                  <c:v>Flusher</c:v>
                </c:pt>
                <c:pt idx="38">
                  <c:v>1½"x6" Nepul</c:v>
                </c:pt>
                <c:pt idx="39">
                  <c:v>1½"x3/4" Rodiser</c:v>
                </c:pt>
                <c:pt idx="40">
                  <c:v>1"x4" Nepul</c:v>
                </c:pt>
                <c:pt idx="41">
                  <c:v>Shower</c:v>
                </c:pt>
                <c:pt idx="42">
                  <c:v>Loose Pipe</c:v>
                </c:pt>
                <c:pt idx="43">
                  <c:v>5" Syphan</c:v>
                </c:pt>
                <c:pt idx="44">
                  <c:v>3/4" Checkvalve</c:v>
                </c:pt>
              </c:strCache>
            </c:strRef>
          </c:cat>
          <c:val>
            <c:numRef>
              <c:f>'Pivot_Analysis - Week - 1'!$Y$5:$Y$50</c:f>
              <c:numCache>
                <c:formatCode>General</c:formatCode>
                <c:ptCount val="45"/>
                <c:pt idx="0">
                  <c:v>21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B-4ED5-B6E6-26B92852D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723015"/>
        <c:axId val="1271725063"/>
      </c:barChart>
      <c:catAx>
        <c:axId val="1271723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5063"/>
        <c:crosses val="autoZero"/>
        <c:auto val="1"/>
        <c:lblAlgn val="ctr"/>
        <c:lblOffset val="100"/>
        <c:noMultiLvlLbl val="0"/>
      </c:catAx>
      <c:valAx>
        <c:axId val="1271725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3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( 10 Aug - 16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 2'!$F$4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 2'!$E$5:$E$12</c:f>
              <c:strCache>
                <c:ptCount val="7"/>
                <c:pt idx="0">
                  <c:v>10/08/2026</c:v>
                </c:pt>
                <c:pt idx="1">
                  <c:v>11/08/2026</c:v>
                </c:pt>
                <c:pt idx="2">
                  <c:v>12/08/2026</c:v>
                </c:pt>
                <c:pt idx="3">
                  <c:v>13/08/2026</c:v>
                </c:pt>
                <c:pt idx="4">
                  <c:v>14/08/2026</c:v>
                </c:pt>
                <c:pt idx="5">
                  <c:v>15/08/2026</c:v>
                </c:pt>
                <c:pt idx="6">
                  <c:v>16/08/2026</c:v>
                </c:pt>
              </c:strCache>
            </c:strRef>
          </c:cat>
          <c:val>
            <c:numRef>
              <c:f>'Pivot_Analysis - Week -  2'!$F$5:$F$12</c:f>
              <c:numCache>
                <c:formatCode>[$₹-439]#,##0.00</c:formatCode>
                <c:ptCount val="7"/>
                <c:pt idx="0">
                  <c:v>326.2</c:v>
                </c:pt>
                <c:pt idx="1">
                  <c:v>327.8</c:v>
                </c:pt>
                <c:pt idx="2">
                  <c:v>607.79999999999995</c:v>
                </c:pt>
                <c:pt idx="3">
                  <c:v>421.00000000000006</c:v>
                </c:pt>
                <c:pt idx="4">
                  <c:v>450.3</c:v>
                </c:pt>
                <c:pt idx="5">
                  <c:v>457.5</c:v>
                </c:pt>
                <c:pt idx="6">
                  <c:v>492.8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7-4C18-BD5C-33E68AE0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52583"/>
        <c:axId val="250328583"/>
      </c:lineChart>
      <c:catAx>
        <c:axId val="24975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8583"/>
        <c:crosses val="autoZero"/>
        <c:auto val="1"/>
        <c:lblAlgn val="ctr"/>
        <c:lblOffset val="100"/>
        <c:noMultiLvlLbl val="0"/>
      </c:catAx>
      <c:valAx>
        <c:axId val="25032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5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2'!$N$5:$N$55</c:f>
              <c:strCache>
                <c:ptCount val="50"/>
                <c:pt idx="0">
                  <c:v>3/4" Cancilled</c:v>
                </c:pt>
                <c:pt idx="1">
                  <c:v>4" Pipe</c:v>
                </c:pt>
                <c:pt idx="2">
                  <c:v>1" Pipe</c:v>
                </c:pt>
                <c:pt idx="3">
                  <c:v>1" Loose Pipe</c:v>
                </c:pt>
                <c:pt idx="4">
                  <c:v>3/4" Pipe</c:v>
                </c:pt>
                <c:pt idx="5">
                  <c:v>1" Ball Valve</c:v>
                </c:pt>
                <c:pt idx="6">
                  <c:v>Seat</c:v>
                </c:pt>
                <c:pt idx="7">
                  <c:v>Fan Hook</c:v>
                </c:pt>
                <c:pt idx="8">
                  <c:v>Tap</c:v>
                </c:pt>
                <c:pt idx="9">
                  <c:v>Steel Angle Cock</c:v>
                </c:pt>
                <c:pt idx="10">
                  <c:v>3/4" PVC Hook</c:v>
                </c:pt>
                <c:pt idx="11">
                  <c:v>Solvent 100ml</c:v>
                </c:pt>
                <c:pt idx="12">
                  <c:v>Steel Tap</c:v>
                </c:pt>
                <c:pt idx="13">
                  <c:v>Tank Cover</c:v>
                </c:pt>
                <c:pt idx="14">
                  <c:v>5" Blade</c:v>
                </c:pt>
                <c:pt idx="15">
                  <c:v>1/2" Check Valve</c:v>
                </c:pt>
                <c:pt idx="16">
                  <c:v>Hand Shower</c:v>
                </c:pt>
                <c:pt idx="17">
                  <c:v>1/2" Connection Pipe</c:v>
                </c:pt>
                <c:pt idx="18">
                  <c:v>3" Band</c:v>
                </c:pt>
                <c:pt idx="19">
                  <c:v>4" Blade</c:v>
                </c:pt>
                <c:pt idx="20">
                  <c:v>1" Union</c:v>
                </c:pt>
                <c:pt idx="21">
                  <c:v>1/2" Plug</c:v>
                </c:pt>
                <c:pt idx="22">
                  <c:v>3" Pipe</c:v>
                </c:pt>
                <c:pt idx="23">
                  <c:v>3/4" Elbow</c:v>
                </c:pt>
                <c:pt idx="24">
                  <c:v>5"x4" Syphan</c:v>
                </c:pt>
                <c:pt idx="25">
                  <c:v>3" Gold Plenjer</c:v>
                </c:pt>
                <c:pt idx="26">
                  <c:v>1" Elbow</c:v>
                </c:pt>
                <c:pt idx="27">
                  <c:v>Solvent 50ml</c:v>
                </c:pt>
                <c:pt idx="28">
                  <c:v>Pump Handle</c:v>
                </c:pt>
                <c:pt idx="29">
                  <c:v>3" Jali</c:v>
                </c:pt>
                <c:pt idx="30">
                  <c:v>3" Y Tee</c:v>
                </c:pt>
                <c:pt idx="31">
                  <c:v>4" Band</c:v>
                </c:pt>
                <c:pt idx="32">
                  <c:v>3/4"x1/2" B Elbow</c:v>
                </c:pt>
                <c:pt idx="33">
                  <c:v>Sypahn Baser</c:v>
                </c:pt>
                <c:pt idx="34">
                  <c:v>4" Tee</c:v>
                </c:pt>
                <c:pt idx="35">
                  <c:v>3" Half Band</c:v>
                </c:pt>
                <c:pt idx="36">
                  <c:v>1/2" B MTA</c:v>
                </c:pt>
                <c:pt idx="37">
                  <c:v>1" Clip</c:v>
                </c:pt>
                <c:pt idx="38">
                  <c:v>3/4" Union</c:v>
                </c:pt>
                <c:pt idx="39">
                  <c:v>PVC Solvent</c:v>
                </c:pt>
                <c:pt idx="40">
                  <c:v>3/4" Ball Valve</c:v>
                </c:pt>
                <c:pt idx="41">
                  <c:v>1" MTA</c:v>
                </c:pt>
                <c:pt idx="42">
                  <c:v>1" Tee</c:v>
                </c:pt>
                <c:pt idx="43">
                  <c:v>Nut Bolt</c:v>
                </c:pt>
                <c:pt idx="44">
                  <c:v>Jointer</c:v>
                </c:pt>
                <c:pt idx="45">
                  <c:v>Teplon</c:v>
                </c:pt>
                <c:pt idx="46">
                  <c:v>1"x3/4" Buss</c:v>
                </c:pt>
                <c:pt idx="47">
                  <c:v>3" Bocket</c:v>
                </c:pt>
                <c:pt idx="48">
                  <c:v>1" Coupler</c:v>
                </c:pt>
                <c:pt idx="49">
                  <c:v>Solvent 20ml</c:v>
                </c:pt>
              </c:strCache>
            </c:strRef>
          </c:cat>
          <c:val>
            <c:numRef>
              <c:f>'Pivot_Analysis - Week -  2'!$O$5:$O$55</c:f>
              <c:numCache>
                <c:formatCode>[$₹-439]#,##0.00</c:formatCode>
                <c:ptCount val="50"/>
                <c:pt idx="0">
                  <c:v>270</c:v>
                </c:pt>
                <c:pt idx="1">
                  <c:v>200</c:v>
                </c:pt>
                <c:pt idx="2">
                  <c:v>165</c:v>
                </c:pt>
                <c:pt idx="3">
                  <c:v>160</c:v>
                </c:pt>
                <c:pt idx="4">
                  <c:v>158.00000000000006</c:v>
                </c:pt>
                <c:pt idx="5">
                  <c:v>149</c:v>
                </c:pt>
                <c:pt idx="6">
                  <c:v>120</c:v>
                </c:pt>
                <c:pt idx="7">
                  <c:v>94.5</c:v>
                </c:pt>
                <c:pt idx="8">
                  <c:v>90</c:v>
                </c:pt>
                <c:pt idx="9">
                  <c:v>82</c:v>
                </c:pt>
                <c:pt idx="10">
                  <c:v>81.599999999999994</c:v>
                </c:pt>
                <c:pt idx="11">
                  <c:v>80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66</c:v>
                </c:pt>
                <c:pt idx="19">
                  <c:v>64.800000000000011</c:v>
                </c:pt>
                <c:pt idx="20">
                  <c:v>62</c:v>
                </c:pt>
                <c:pt idx="21">
                  <c:v>60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42</c:v>
                </c:pt>
                <c:pt idx="26">
                  <c:v>39</c:v>
                </c:pt>
                <c:pt idx="27">
                  <c:v>39</c:v>
                </c:pt>
                <c:pt idx="28">
                  <c:v>36</c:v>
                </c:pt>
                <c:pt idx="29">
                  <c:v>36</c:v>
                </c:pt>
                <c:pt idx="30">
                  <c:v>34</c:v>
                </c:pt>
                <c:pt idx="31">
                  <c:v>33</c:v>
                </c:pt>
                <c:pt idx="32">
                  <c:v>32</c:v>
                </c:pt>
                <c:pt idx="33">
                  <c:v>28</c:v>
                </c:pt>
                <c:pt idx="34">
                  <c:v>26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20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16.200000000000003</c:v>
                </c:pt>
                <c:pt idx="43">
                  <c:v>16.200000000000003</c:v>
                </c:pt>
                <c:pt idx="44">
                  <c:v>15.599999999999998</c:v>
                </c:pt>
                <c:pt idx="45">
                  <c:v>14.000000000000007</c:v>
                </c:pt>
                <c:pt idx="46">
                  <c:v>14</c:v>
                </c:pt>
                <c:pt idx="47">
                  <c:v>12.5</c:v>
                </c:pt>
                <c:pt idx="48">
                  <c:v>12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C-446A-805B-96CA261D6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945544"/>
        <c:axId val="979490312"/>
      </c:barChart>
      <c:catAx>
        <c:axId val="92294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0312"/>
        <c:crosses val="autoZero"/>
        <c:auto val="1"/>
        <c:lblAlgn val="ctr"/>
        <c:lblOffset val="100"/>
        <c:noMultiLvlLbl val="0"/>
      </c:catAx>
      <c:valAx>
        <c:axId val="97949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2'!$Y$5:$Y$55</c:f>
              <c:strCache>
                <c:ptCount val="50"/>
                <c:pt idx="0">
                  <c:v>3/4" PVC Hook</c:v>
                </c:pt>
                <c:pt idx="1">
                  <c:v>3/4" Elbow</c:v>
                </c:pt>
                <c:pt idx="2">
                  <c:v>1/2" Plug</c:v>
                </c:pt>
                <c:pt idx="3">
                  <c:v>Teplon</c:v>
                </c:pt>
                <c:pt idx="4">
                  <c:v>4" Blade</c:v>
                </c:pt>
                <c:pt idx="5">
                  <c:v>3/4" Pipe</c:v>
                </c:pt>
                <c:pt idx="6">
                  <c:v>1" Pipe</c:v>
                </c:pt>
                <c:pt idx="7">
                  <c:v>Fan Hook</c:v>
                </c:pt>
                <c:pt idx="8">
                  <c:v>4" Pipe</c:v>
                </c:pt>
                <c:pt idx="9">
                  <c:v>3" Band</c:v>
                </c:pt>
                <c:pt idx="10">
                  <c:v>1" Elbow</c:v>
                </c:pt>
                <c:pt idx="11">
                  <c:v>Nut Bolt</c:v>
                </c:pt>
                <c:pt idx="12">
                  <c:v>1" Clip</c:v>
                </c:pt>
                <c:pt idx="13">
                  <c:v>Tap</c:v>
                </c:pt>
                <c:pt idx="14">
                  <c:v>1" Coupler</c:v>
                </c:pt>
                <c:pt idx="15">
                  <c:v>1" Ball Valve</c:v>
                </c:pt>
                <c:pt idx="16">
                  <c:v>3/4"x1/2" B Elbow</c:v>
                </c:pt>
                <c:pt idx="17">
                  <c:v>1" Union</c:v>
                </c:pt>
                <c:pt idx="18">
                  <c:v>4" Band</c:v>
                </c:pt>
                <c:pt idx="19">
                  <c:v>Jointer</c:v>
                </c:pt>
                <c:pt idx="20">
                  <c:v>3/4" Cancilled</c:v>
                </c:pt>
                <c:pt idx="21">
                  <c:v>Steel Tap</c:v>
                </c:pt>
                <c:pt idx="22">
                  <c:v>3" Half Band</c:v>
                </c:pt>
                <c:pt idx="23">
                  <c:v>Solvent 50ml</c:v>
                </c:pt>
                <c:pt idx="24">
                  <c:v>3" Jali</c:v>
                </c:pt>
                <c:pt idx="25">
                  <c:v>1/2" B MTA</c:v>
                </c:pt>
                <c:pt idx="26">
                  <c:v>1" MTA</c:v>
                </c:pt>
                <c:pt idx="27">
                  <c:v>3/4" Union</c:v>
                </c:pt>
                <c:pt idx="28">
                  <c:v>3" Y Tee</c:v>
                </c:pt>
                <c:pt idx="29">
                  <c:v>Steel Angle Cock</c:v>
                </c:pt>
                <c:pt idx="30">
                  <c:v>Solvent 100ml</c:v>
                </c:pt>
                <c:pt idx="31">
                  <c:v>3" Pipe</c:v>
                </c:pt>
                <c:pt idx="32">
                  <c:v>1"x3/4" Buss</c:v>
                </c:pt>
                <c:pt idx="33">
                  <c:v>1" Tee</c:v>
                </c:pt>
                <c:pt idx="34">
                  <c:v>1/2" Connection Pipe</c:v>
                </c:pt>
                <c:pt idx="35">
                  <c:v>5" Blade</c:v>
                </c:pt>
                <c:pt idx="36">
                  <c:v>1" Loose Pipe</c:v>
                </c:pt>
                <c:pt idx="37">
                  <c:v>Tank Cover</c:v>
                </c:pt>
                <c:pt idx="38">
                  <c:v>Hand Shower</c:v>
                </c:pt>
                <c:pt idx="39">
                  <c:v>3" Bocket</c:v>
                </c:pt>
                <c:pt idx="40">
                  <c:v>4" Tee</c:v>
                </c:pt>
                <c:pt idx="41">
                  <c:v>Pump Handle</c:v>
                </c:pt>
                <c:pt idx="42">
                  <c:v>1/2" Check Valve</c:v>
                </c:pt>
                <c:pt idx="43">
                  <c:v>PVC Solvent</c:v>
                </c:pt>
                <c:pt idx="44">
                  <c:v>Sypahn Baser</c:v>
                </c:pt>
                <c:pt idx="45">
                  <c:v>Seat</c:v>
                </c:pt>
                <c:pt idx="46">
                  <c:v>3" Gold Plenjer</c:v>
                </c:pt>
                <c:pt idx="47">
                  <c:v>3/4" Ball Valve</c:v>
                </c:pt>
                <c:pt idx="48">
                  <c:v>Solvent 20ml</c:v>
                </c:pt>
                <c:pt idx="49">
                  <c:v>5"x4" Syphan</c:v>
                </c:pt>
              </c:strCache>
            </c:strRef>
          </c:cat>
          <c:val>
            <c:numRef>
              <c:f>'Pivot_Analysis - Week -  2'!$Z$5:$Z$55</c:f>
              <c:numCache>
                <c:formatCode>General</c:formatCode>
                <c:ptCount val="50"/>
                <c:pt idx="0">
                  <c:v>39</c:v>
                </c:pt>
                <c:pt idx="1">
                  <c:v>23</c:v>
                </c:pt>
                <c:pt idx="2">
                  <c:v>20</c:v>
                </c:pt>
                <c:pt idx="3">
                  <c:v>16</c:v>
                </c:pt>
                <c:pt idx="4">
                  <c:v>12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1-471D-B8E7-08EE0F155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82408"/>
        <c:axId val="985384456"/>
      </c:barChart>
      <c:catAx>
        <c:axId val="98538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4456"/>
        <c:crosses val="autoZero"/>
        <c:auto val="1"/>
        <c:lblAlgn val="ctr"/>
        <c:lblOffset val="100"/>
        <c:noMultiLvlLbl val="0"/>
      </c:catAx>
      <c:valAx>
        <c:axId val="9853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( 17 Aug - 23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- 3'!$C$4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- 3'!$B$5:$B$12</c:f>
              <c:strCache>
                <c:ptCount val="7"/>
                <c:pt idx="0">
                  <c:v>17/08/2026</c:v>
                </c:pt>
                <c:pt idx="1">
                  <c:v>18/08/2026</c:v>
                </c:pt>
                <c:pt idx="2">
                  <c:v>19/08/2026</c:v>
                </c:pt>
                <c:pt idx="3">
                  <c:v>20/08/2026</c:v>
                </c:pt>
                <c:pt idx="4">
                  <c:v>21/08/2026</c:v>
                </c:pt>
                <c:pt idx="5">
                  <c:v>22/08/2026</c:v>
                </c:pt>
                <c:pt idx="6">
                  <c:v>23/08/2026</c:v>
                </c:pt>
              </c:strCache>
            </c:strRef>
          </c:cat>
          <c:val>
            <c:numRef>
              <c:f>'Pivot_Analysis - Week - 3'!$C$5:$C$12</c:f>
              <c:numCache>
                <c:formatCode>[$₹-439]#,##0.00</c:formatCode>
                <c:ptCount val="7"/>
                <c:pt idx="0">
                  <c:v>552.5</c:v>
                </c:pt>
                <c:pt idx="1">
                  <c:v>494</c:v>
                </c:pt>
                <c:pt idx="2">
                  <c:v>377.5</c:v>
                </c:pt>
                <c:pt idx="3">
                  <c:v>855</c:v>
                </c:pt>
                <c:pt idx="4">
                  <c:v>452.4</c:v>
                </c:pt>
                <c:pt idx="5">
                  <c:v>903</c:v>
                </c:pt>
                <c:pt idx="6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F-4031-BCE1-6668DF5DB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889224"/>
        <c:axId val="818889224"/>
      </c:lineChart>
      <c:catAx>
        <c:axId val="8508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89224"/>
        <c:crosses val="autoZero"/>
        <c:auto val="1"/>
        <c:lblAlgn val="ctr"/>
        <c:lblOffset val="100"/>
        <c:noMultiLvlLbl val="0"/>
      </c:catAx>
      <c:valAx>
        <c:axId val="81888922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- 3'!$B$25:$B$69</c:f>
              <c:strCache>
                <c:ptCount val="44"/>
                <c:pt idx="0">
                  <c:v>1/2" Cancilled</c:v>
                </c:pt>
                <c:pt idx="1">
                  <c:v>6" Pipe</c:v>
                </c:pt>
                <c:pt idx="2">
                  <c:v>Stand Besin</c:v>
                </c:pt>
                <c:pt idx="3">
                  <c:v>Tap</c:v>
                </c:pt>
                <c:pt idx="4">
                  <c:v>3/4" Pipe</c:v>
                </c:pt>
                <c:pt idx="5">
                  <c:v>Brass Shower</c:v>
                </c:pt>
                <c:pt idx="6">
                  <c:v>4" Pipe</c:v>
                </c:pt>
                <c:pt idx="7">
                  <c:v>Motor</c:v>
                </c:pt>
                <c:pt idx="8">
                  <c:v>6" Band</c:v>
                </c:pt>
                <c:pt idx="9">
                  <c:v>3" Pipe</c:v>
                </c:pt>
                <c:pt idx="10">
                  <c:v>4" Band</c:v>
                </c:pt>
                <c:pt idx="11">
                  <c:v>Seat</c:v>
                </c:pt>
                <c:pt idx="12">
                  <c:v>6"x5" Syphan</c:v>
                </c:pt>
                <c:pt idx="13">
                  <c:v>6" Hook</c:v>
                </c:pt>
                <c:pt idx="14">
                  <c:v>Flusher</c:v>
                </c:pt>
                <c:pt idx="15">
                  <c:v>Pillar Cock</c:v>
                </c:pt>
                <c:pt idx="16">
                  <c:v>1/2" B MTA</c:v>
                </c:pt>
                <c:pt idx="17">
                  <c:v>Solvent 100ml</c:v>
                </c:pt>
                <c:pt idx="18">
                  <c:v>4" Hook</c:v>
                </c:pt>
                <c:pt idx="19">
                  <c:v>1/2"x12" Nepul</c:v>
                </c:pt>
                <c:pt idx="20">
                  <c:v>4" Half Band</c:v>
                </c:pt>
                <c:pt idx="21">
                  <c:v>Sink Cock</c:v>
                </c:pt>
                <c:pt idx="22">
                  <c:v>3" Jali</c:v>
                </c:pt>
                <c:pt idx="23">
                  <c:v>4" Y Tee</c:v>
                </c:pt>
                <c:pt idx="24">
                  <c:v>5"x4" Syphan</c:v>
                </c:pt>
                <c:pt idx="25">
                  <c:v>3/4" Coupler</c:v>
                </c:pt>
                <c:pt idx="26">
                  <c:v>Teplon</c:v>
                </c:pt>
                <c:pt idx="27">
                  <c:v>1/2" Ferul</c:v>
                </c:pt>
                <c:pt idx="28">
                  <c:v>4" Coupler</c:v>
                </c:pt>
                <c:pt idx="29">
                  <c:v>3" Hook</c:v>
                </c:pt>
                <c:pt idx="30">
                  <c:v>3/4"x1/2" B Elbow</c:v>
                </c:pt>
                <c:pt idx="31">
                  <c:v>1/2" Connection Pipe</c:v>
                </c:pt>
                <c:pt idx="32">
                  <c:v>Sypahn Baser</c:v>
                </c:pt>
                <c:pt idx="33">
                  <c:v>5" Blade</c:v>
                </c:pt>
                <c:pt idx="34">
                  <c:v>3/4" Elbow</c:v>
                </c:pt>
                <c:pt idx="35">
                  <c:v>Faster Nut</c:v>
                </c:pt>
                <c:pt idx="36">
                  <c:v>Waste Coupling</c:v>
                </c:pt>
                <c:pt idx="37">
                  <c:v>Angle Cock</c:v>
                </c:pt>
                <c:pt idx="38">
                  <c:v>Waste Pipe</c:v>
                </c:pt>
                <c:pt idx="39">
                  <c:v>4"x3" Coupler</c:v>
                </c:pt>
                <c:pt idx="40">
                  <c:v>Solvent PVC</c:v>
                </c:pt>
                <c:pt idx="41">
                  <c:v>3/4"x1/2" B FTA</c:v>
                </c:pt>
                <c:pt idx="42">
                  <c:v>White Cement</c:v>
                </c:pt>
                <c:pt idx="43">
                  <c:v>4" Blade</c:v>
                </c:pt>
              </c:strCache>
            </c:strRef>
          </c:cat>
          <c:val>
            <c:numRef>
              <c:f>'Pivot_Analysis - Week - 3'!$C$25:$C$69</c:f>
              <c:numCache>
                <c:formatCode>[$₹-439]#,##0.00</c:formatCode>
                <c:ptCount val="44"/>
                <c:pt idx="0">
                  <c:v>270</c:v>
                </c:pt>
                <c:pt idx="1">
                  <c:v>255</c:v>
                </c:pt>
                <c:pt idx="2">
                  <c:v>250</c:v>
                </c:pt>
                <c:pt idx="3">
                  <c:v>220</c:v>
                </c:pt>
                <c:pt idx="4">
                  <c:v>220</c:v>
                </c:pt>
                <c:pt idx="5">
                  <c:v>210</c:v>
                </c:pt>
                <c:pt idx="6">
                  <c:v>208</c:v>
                </c:pt>
                <c:pt idx="7">
                  <c:v>200</c:v>
                </c:pt>
                <c:pt idx="8">
                  <c:v>170</c:v>
                </c:pt>
                <c:pt idx="9">
                  <c:v>168</c:v>
                </c:pt>
                <c:pt idx="10">
                  <c:v>168</c:v>
                </c:pt>
                <c:pt idx="11">
                  <c:v>150</c:v>
                </c:pt>
                <c:pt idx="12">
                  <c:v>130</c:v>
                </c:pt>
                <c:pt idx="13">
                  <c:v>130</c:v>
                </c:pt>
                <c:pt idx="14">
                  <c:v>128</c:v>
                </c:pt>
                <c:pt idx="15">
                  <c:v>107</c:v>
                </c:pt>
                <c:pt idx="16">
                  <c:v>93</c:v>
                </c:pt>
                <c:pt idx="17">
                  <c:v>85</c:v>
                </c:pt>
                <c:pt idx="18">
                  <c:v>84</c:v>
                </c:pt>
                <c:pt idx="19">
                  <c:v>72</c:v>
                </c:pt>
                <c:pt idx="20">
                  <c:v>63</c:v>
                </c:pt>
                <c:pt idx="21">
                  <c:v>60</c:v>
                </c:pt>
                <c:pt idx="22">
                  <c:v>48</c:v>
                </c:pt>
                <c:pt idx="23">
                  <c:v>48</c:v>
                </c:pt>
                <c:pt idx="24">
                  <c:v>45</c:v>
                </c:pt>
                <c:pt idx="25">
                  <c:v>42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35</c:v>
                </c:pt>
                <c:pt idx="30">
                  <c:v>33</c:v>
                </c:pt>
                <c:pt idx="31">
                  <c:v>30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24</c:v>
                </c:pt>
                <c:pt idx="36">
                  <c:v>22</c:v>
                </c:pt>
                <c:pt idx="37">
                  <c:v>18</c:v>
                </c:pt>
                <c:pt idx="38">
                  <c:v>18</c:v>
                </c:pt>
                <c:pt idx="39">
                  <c:v>15</c:v>
                </c:pt>
                <c:pt idx="40">
                  <c:v>14</c:v>
                </c:pt>
                <c:pt idx="41">
                  <c:v>9</c:v>
                </c:pt>
                <c:pt idx="42">
                  <c:v>7</c:v>
                </c:pt>
                <c:pt idx="43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2-4B36-8044-0782DC440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23752"/>
        <c:axId val="625825800"/>
      </c:barChart>
      <c:catAx>
        <c:axId val="62582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5800"/>
        <c:crosses val="autoZero"/>
        <c:auto val="1"/>
        <c:lblAlgn val="ctr"/>
        <c:lblOffset val="100"/>
        <c:noMultiLvlLbl val="0"/>
      </c:catAx>
      <c:valAx>
        <c:axId val="62582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- 3'!$B$81:$B$125</c:f>
              <c:strCache>
                <c:ptCount val="44"/>
                <c:pt idx="0">
                  <c:v>Teplon</c:v>
                </c:pt>
                <c:pt idx="1">
                  <c:v>4" Hook</c:v>
                </c:pt>
                <c:pt idx="2">
                  <c:v>3/4" Coupler</c:v>
                </c:pt>
                <c:pt idx="3">
                  <c:v>3/4" Pipe</c:v>
                </c:pt>
                <c:pt idx="4">
                  <c:v>6" Hook</c:v>
                </c:pt>
                <c:pt idx="5">
                  <c:v>3" Hook</c:v>
                </c:pt>
                <c:pt idx="6">
                  <c:v>Tap</c:v>
                </c:pt>
                <c:pt idx="7">
                  <c:v>3/4" Elbow</c:v>
                </c:pt>
                <c:pt idx="8">
                  <c:v>4" Band</c:v>
                </c:pt>
                <c:pt idx="9">
                  <c:v>4" Pipe</c:v>
                </c:pt>
                <c:pt idx="10">
                  <c:v>3" Pipe</c:v>
                </c:pt>
                <c:pt idx="11">
                  <c:v>4" Blade</c:v>
                </c:pt>
                <c:pt idx="12">
                  <c:v>1/2" B MTA</c:v>
                </c:pt>
                <c:pt idx="13">
                  <c:v>6" Band</c:v>
                </c:pt>
                <c:pt idx="14">
                  <c:v>3" Jali</c:v>
                </c:pt>
                <c:pt idx="15">
                  <c:v>6" Pipe</c:v>
                </c:pt>
                <c:pt idx="16">
                  <c:v>Solvent 100ml</c:v>
                </c:pt>
                <c:pt idx="17">
                  <c:v>4" Coupler</c:v>
                </c:pt>
                <c:pt idx="18">
                  <c:v>4" Half Band</c:v>
                </c:pt>
                <c:pt idx="19">
                  <c:v>4" Y Tee</c:v>
                </c:pt>
                <c:pt idx="20">
                  <c:v>1/2" Cancilled</c:v>
                </c:pt>
                <c:pt idx="21">
                  <c:v>Solvent PVC</c:v>
                </c:pt>
                <c:pt idx="22">
                  <c:v>1/2"x12" Nepul</c:v>
                </c:pt>
                <c:pt idx="23">
                  <c:v>Pillar Cock</c:v>
                </c:pt>
                <c:pt idx="24">
                  <c:v>3/4"x1/2" B Elbow</c:v>
                </c:pt>
                <c:pt idx="25">
                  <c:v>5"x4" Syphan</c:v>
                </c:pt>
                <c:pt idx="26">
                  <c:v>1/2" Ferul</c:v>
                </c:pt>
                <c:pt idx="27">
                  <c:v>Sink Cock</c:v>
                </c:pt>
                <c:pt idx="28">
                  <c:v>Sypahn Baser</c:v>
                </c:pt>
                <c:pt idx="29">
                  <c:v>4"x3" Coupler</c:v>
                </c:pt>
                <c:pt idx="30">
                  <c:v>3/4"x1/2" B FTA</c:v>
                </c:pt>
                <c:pt idx="31">
                  <c:v>Seat</c:v>
                </c:pt>
                <c:pt idx="32">
                  <c:v>White Cement</c:v>
                </c:pt>
                <c:pt idx="33">
                  <c:v>1/2" Connection Pipe</c:v>
                </c:pt>
                <c:pt idx="34">
                  <c:v>Faster Nut</c:v>
                </c:pt>
                <c:pt idx="35">
                  <c:v>Stand Besin</c:v>
                </c:pt>
                <c:pt idx="36">
                  <c:v>Flusher</c:v>
                </c:pt>
                <c:pt idx="37">
                  <c:v>Motor</c:v>
                </c:pt>
                <c:pt idx="38">
                  <c:v>6"x5" Syphan</c:v>
                </c:pt>
                <c:pt idx="39">
                  <c:v>Waste Coupling</c:v>
                </c:pt>
                <c:pt idx="40">
                  <c:v>Waste Pipe</c:v>
                </c:pt>
                <c:pt idx="41">
                  <c:v>Brass Shower</c:v>
                </c:pt>
                <c:pt idx="42">
                  <c:v>Angle Cock</c:v>
                </c:pt>
                <c:pt idx="43">
                  <c:v>5" Blade</c:v>
                </c:pt>
              </c:strCache>
            </c:strRef>
          </c:cat>
          <c:val>
            <c:numRef>
              <c:f>'Pivot_Analysis - Week - 3'!$C$81:$C$125</c:f>
              <c:numCache>
                <c:formatCode>General</c:formatCode>
                <c:ptCount val="44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3-4C7B-A359-697F6853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47464"/>
        <c:axId val="814549512"/>
      </c:barChart>
      <c:catAx>
        <c:axId val="81454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9512"/>
        <c:crosses val="autoZero"/>
        <c:auto val="1"/>
        <c:lblAlgn val="ctr"/>
        <c:lblOffset val="100"/>
        <c:noMultiLvlLbl val="0"/>
      </c:catAx>
      <c:valAx>
        <c:axId val="8145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( 24 Aug to 30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- 4'!$C$4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- 4'!$B$5:$B$12</c:f>
              <c:strCache>
                <c:ptCount val="7"/>
                <c:pt idx="0">
                  <c:v>24/08/2026</c:v>
                </c:pt>
                <c:pt idx="1">
                  <c:v>25/08/2026</c:v>
                </c:pt>
                <c:pt idx="2">
                  <c:v>26/08/2026</c:v>
                </c:pt>
                <c:pt idx="3">
                  <c:v>27/08/2026</c:v>
                </c:pt>
                <c:pt idx="4">
                  <c:v>28/08/2026</c:v>
                </c:pt>
                <c:pt idx="5">
                  <c:v>29/08/2026</c:v>
                </c:pt>
                <c:pt idx="6">
                  <c:v>30/08/2026</c:v>
                </c:pt>
              </c:strCache>
            </c:strRef>
          </c:cat>
          <c:val>
            <c:numRef>
              <c:f>'Pivot_Analysis - Week - 4'!$C$5:$C$12</c:f>
              <c:numCache>
                <c:formatCode>[$₹-439]#,##0.00</c:formatCode>
                <c:ptCount val="7"/>
                <c:pt idx="0">
                  <c:v>260.60000000000002</c:v>
                </c:pt>
                <c:pt idx="1">
                  <c:v>795.8</c:v>
                </c:pt>
                <c:pt idx="2">
                  <c:v>957</c:v>
                </c:pt>
                <c:pt idx="3">
                  <c:v>192.5</c:v>
                </c:pt>
                <c:pt idx="4">
                  <c:v>394</c:v>
                </c:pt>
                <c:pt idx="5">
                  <c:v>936.5</c:v>
                </c:pt>
                <c:pt idx="6">
                  <c:v>671.4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E-4E93-863A-92B325B3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604616"/>
        <c:axId val="1121606664"/>
      </c:lineChart>
      <c:catAx>
        <c:axId val="112160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6664"/>
        <c:crosses val="autoZero"/>
        <c:auto val="1"/>
        <c:lblAlgn val="ctr"/>
        <c:lblOffset val="100"/>
        <c:noMultiLvlLbl val="0"/>
      </c:catAx>
      <c:valAx>
        <c:axId val="112160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- 4'!$B$26:$B$77</c:f>
              <c:strCache>
                <c:ptCount val="51"/>
                <c:pt idx="0">
                  <c:v>Motor 1HP</c:v>
                </c:pt>
                <c:pt idx="1">
                  <c:v>3/4" Pipe</c:v>
                </c:pt>
                <c:pt idx="2">
                  <c:v>1" Loose Pipe</c:v>
                </c:pt>
                <c:pt idx="3">
                  <c:v>1" Pipe</c:v>
                </c:pt>
                <c:pt idx="4">
                  <c:v>3" Y Tee</c:v>
                </c:pt>
                <c:pt idx="5">
                  <c:v>Solvent 50ml</c:v>
                </c:pt>
                <c:pt idx="6">
                  <c:v>3/4" Check Valve</c:v>
                </c:pt>
                <c:pt idx="7">
                  <c:v>1"×1/2" B Elbow</c:v>
                </c:pt>
                <c:pt idx="8">
                  <c:v>3" Pipe</c:v>
                </c:pt>
                <c:pt idx="9">
                  <c:v>4" Pipe</c:v>
                </c:pt>
                <c:pt idx="10">
                  <c:v>Wash Besin</c:v>
                </c:pt>
                <c:pt idx="11">
                  <c:v>1" Elbow</c:v>
                </c:pt>
                <c:pt idx="12">
                  <c:v>4" Band</c:v>
                </c:pt>
                <c:pt idx="13">
                  <c:v>1/2" Plug</c:v>
                </c:pt>
                <c:pt idx="14">
                  <c:v>1"×1/2" B Tee</c:v>
                </c:pt>
                <c:pt idx="15">
                  <c:v>GI Hook</c:v>
                </c:pt>
                <c:pt idx="16">
                  <c:v>4" Tee</c:v>
                </c:pt>
                <c:pt idx="17">
                  <c:v>Tap</c:v>
                </c:pt>
                <c:pt idx="18">
                  <c:v>1"×12" Nepul</c:v>
                </c:pt>
                <c:pt idx="19">
                  <c:v>3" Half Band</c:v>
                </c:pt>
                <c:pt idx="20">
                  <c:v>1/2" Ferul</c:v>
                </c:pt>
                <c:pt idx="21">
                  <c:v>3/4" Ferul</c:v>
                </c:pt>
                <c:pt idx="22">
                  <c:v>4" Blade</c:v>
                </c:pt>
                <c:pt idx="23">
                  <c:v>1/2" Check Valve</c:v>
                </c:pt>
                <c:pt idx="24">
                  <c:v>3/4" Elbow</c:v>
                </c:pt>
                <c:pt idx="25">
                  <c:v>3/4"×1/2" B Elbow</c:v>
                </c:pt>
                <c:pt idx="26">
                  <c:v>Wash Besin Tap</c:v>
                </c:pt>
                <c:pt idx="27">
                  <c:v>3/4" Coupler</c:v>
                </c:pt>
                <c:pt idx="28">
                  <c:v>1" Coupler</c:v>
                </c:pt>
                <c:pt idx="29">
                  <c:v>3/4 " Elbow</c:v>
                </c:pt>
                <c:pt idx="30">
                  <c:v>Solvent 40ml</c:v>
                </c:pt>
                <c:pt idx="31">
                  <c:v>3/4" B FTA</c:v>
                </c:pt>
                <c:pt idx="32">
                  <c:v>Loha Brush</c:v>
                </c:pt>
                <c:pt idx="33">
                  <c:v>Clip</c:v>
                </c:pt>
                <c:pt idx="34">
                  <c:v>Waste Couplin</c:v>
                </c:pt>
                <c:pt idx="35">
                  <c:v>1"×3/4" Buss</c:v>
                </c:pt>
                <c:pt idx="36">
                  <c:v>1"×3/4" Tee</c:v>
                </c:pt>
                <c:pt idx="37">
                  <c:v>White Cement</c:v>
                </c:pt>
                <c:pt idx="38">
                  <c:v>1"×3/4" Coupler</c:v>
                </c:pt>
                <c:pt idx="39">
                  <c:v>3" Jali</c:v>
                </c:pt>
                <c:pt idx="40">
                  <c:v>Solvent</c:v>
                </c:pt>
                <c:pt idx="41">
                  <c:v>Waste Pipe</c:v>
                </c:pt>
                <c:pt idx="42">
                  <c:v>Solvent PVC</c:v>
                </c:pt>
                <c:pt idx="43">
                  <c:v>Solvent 10ml</c:v>
                </c:pt>
                <c:pt idx="44">
                  <c:v>3" Coupler</c:v>
                </c:pt>
                <c:pt idx="45">
                  <c:v>Faster Nut</c:v>
                </c:pt>
                <c:pt idx="46">
                  <c:v>1"×3/4" Elbow</c:v>
                </c:pt>
                <c:pt idx="47">
                  <c:v>Jointer</c:v>
                </c:pt>
                <c:pt idx="48">
                  <c:v>Aree Blade</c:v>
                </c:pt>
                <c:pt idx="49">
                  <c:v>M-Seal</c:v>
                </c:pt>
                <c:pt idx="50">
                  <c:v>1" MTA</c:v>
                </c:pt>
              </c:strCache>
            </c:strRef>
          </c:cat>
          <c:val>
            <c:numRef>
              <c:f>'Pivot_Analysis - Week - 4'!$C$26:$C$77</c:f>
              <c:numCache>
                <c:formatCode>[$₹-439]#,##0.00</c:formatCode>
                <c:ptCount val="51"/>
                <c:pt idx="0">
                  <c:v>450</c:v>
                </c:pt>
                <c:pt idx="1">
                  <c:v>377</c:v>
                </c:pt>
                <c:pt idx="2">
                  <c:v>274</c:v>
                </c:pt>
                <c:pt idx="3">
                  <c:v>255</c:v>
                </c:pt>
                <c:pt idx="4">
                  <c:v>200</c:v>
                </c:pt>
                <c:pt idx="5">
                  <c:v>194</c:v>
                </c:pt>
                <c:pt idx="6">
                  <c:v>190</c:v>
                </c:pt>
                <c:pt idx="7">
                  <c:v>186</c:v>
                </c:pt>
                <c:pt idx="8">
                  <c:v>168</c:v>
                </c:pt>
                <c:pt idx="9">
                  <c:v>141</c:v>
                </c:pt>
                <c:pt idx="10">
                  <c:v>138</c:v>
                </c:pt>
                <c:pt idx="11">
                  <c:v>128</c:v>
                </c:pt>
                <c:pt idx="12">
                  <c:v>126</c:v>
                </c:pt>
                <c:pt idx="13">
                  <c:v>110</c:v>
                </c:pt>
                <c:pt idx="14">
                  <c:v>100</c:v>
                </c:pt>
                <c:pt idx="15">
                  <c:v>84.999999999999972</c:v>
                </c:pt>
                <c:pt idx="16">
                  <c:v>78</c:v>
                </c:pt>
                <c:pt idx="17">
                  <c:v>72</c:v>
                </c:pt>
                <c:pt idx="18">
                  <c:v>72</c:v>
                </c:pt>
                <c:pt idx="19">
                  <c:v>72</c:v>
                </c:pt>
                <c:pt idx="20">
                  <c:v>72</c:v>
                </c:pt>
                <c:pt idx="21">
                  <c:v>64</c:v>
                </c:pt>
                <c:pt idx="22">
                  <c:v>60</c:v>
                </c:pt>
                <c:pt idx="23">
                  <c:v>56</c:v>
                </c:pt>
                <c:pt idx="24">
                  <c:v>50</c:v>
                </c:pt>
                <c:pt idx="25">
                  <c:v>45</c:v>
                </c:pt>
                <c:pt idx="26">
                  <c:v>40</c:v>
                </c:pt>
                <c:pt idx="27">
                  <c:v>39.599999999999994</c:v>
                </c:pt>
                <c:pt idx="28">
                  <c:v>37.5</c:v>
                </c:pt>
                <c:pt idx="29">
                  <c:v>30</c:v>
                </c:pt>
                <c:pt idx="30">
                  <c:v>27</c:v>
                </c:pt>
                <c:pt idx="31">
                  <c:v>26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16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9</c:v>
                </c:pt>
                <c:pt idx="46">
                  <c:v>8</c:v>
                </c:pt>
                <c:pt idx="47">
                  <c:v>6.7999999999999972</c:v>
                </c:pt>
                <c:pt idx="48">
                  <c:v>6.4000000000000057</c:v>
                </c:pt>
                <c:pt idx="49">
                  <c:v>4.5000000000000018</c:v>
                </c:pt>
                <c:pt idx="5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B-4AC7-9F2F-EFD2FC3FF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442568"/>
        <c:axId val="29921287"/>
      </c:barChart>
      <c:catAx>
        <c:axId val="126944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287"/>
        <c:crosses val="autoZero"/>
        <c:auto val="1"/>
        <c:lblAlgn val="ctr"/>
        <c:lblOffset val="100"/>
        <c:noMultiLvlLbl val="0"/>
      </c:catAx>
      <c:valAx>
        <c:axId val="2992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42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- 4'!$B$87:$B$138</c:f>
              <c:strCache>
                <c:ptCount val="51"/>
                <c:pt idx="0">
                  <c:v>GI Hook</c:v>
                </c:pt>
                <c:pt idx="1">
                  <c:v>3/4" Pipe</c:v>
                </c:pt>
                <c:pt idx="2">
                  <c:v>1" Elbow</c:v>
                </c:pt>
                <c:pt idx="3">
                  <c:v>3/4" Coupler</c:v>
                </c:pt>
                <c:pt idx="4">
                  <c:v>1/2" Plug</c:v>
                </c:pt>
                <c:pt idx="5">
                  <c:v>3/4" Elbow</c:v>
                </c:pt>
                <c:pt idx="6">
                  <c:v>1" Coupler</c:v>
                </c:pt>
                <c:pt idx="7">
                  <c:v>1" Pipe</c:v>
                </c:pt>
                <c:pt idx="8">
                  <c:v>3/4 " Elbow</c:v>
                </c:pt>
                <c:pt idx="9">
                  <c:v>Clip</c:v>
                </c:pt>
                <c:pt idx="10">
                  <c:v>Solvent 50ml</c:v>
                </c:pt>
                <c:pt idx="11">
                  <c:v>Aree Blade</c:v>
                </c:pt>
                <c:pt idx="12">
                  <c:v>3" Y Tee</c:v>
                </c:pt>
                <c:pt idx="13">
                  <c:v>3" Half Band</c:v>
                </c:pt>
                <c:pt idx="14">
                  <c:v>3" Pipe</c:v>
                </c:pt>
                <c:pt idx="15">
                  <c:v>1"×1/2" B Elbow</c:v>
                </c:pt>
                <c:pt idx="16">
                  <c:v>4" Band</c:v>
                </c:pt>
                <c:pt idx="17">
                  <c:v>M-Seal</c:v>
                </c:pt>
                <c:pt idx="18">
                  <c:v>Jointer</c:v>
                </c:pt>
                <c:pt idx="19">
                  <c:v>1"×3/4" Buss</c:v>
                </c:pt>
                <c:pt idx="20">
                  <c:v>1" MTA</c:v>
                </c:pt>
                <c:pt idx="21">
                  <c:v>Tap</c:v>
                </c:pt>
                <c:pt idx="22">
                  <c:v>1"×1/2" B Tee</c:v>
                </c:pt>
                <c:pt idx="23">
                  <c:v>3/4"×1/2" B Elbow</c:v>
                </c:pt>
                <c:pt idx="24">
                  <c:v>Solvent 40ml</c:v>
                </c:pt>
                <c:pt idx="25">
                  <c:v>4" Pipe</c:v>
                </c:pt>
                <c:pt idx="26">
                  <c:v>3/4" Check Valve</c:v>
                </c:pt>
                <c:pt idx="27">
                  <c:v>4" Blade</c:v>
                </c:pt>
                <c:pt idx="28">
                  <c:v>4" Tee</c:v>
                </c:pt>
                <c:pt idx="29">
                  <c:v>1/2" Ferul</c:v>
                </c:pt>
                <c:pt idx="30">
                  <c:v>Loha Brush</c:v>
                </c:pt>
                <c:pt idx="31">
                  <c:v>White Cement</c:v>
                </c:pt>
                <c:pt idx="32">
                  <c:v>1"×12" Nepul</c:v>
                </c:pt>
                <c:pt idx="33">
                  <c:v>Solvent 10ml</c:v>
                </c:pt>
                <c:pt idx="34">
                  <c:v>1"×3/4" Coupler</c:v>
                </c:pt>
                <c:pt idx="35">
                  <c:v>1"×3/4" Elbow</c:v>
                </c:pt>
                <c:pt idx="36">
                  <c:v>1/2" Check Valve</c:v>
                </c:pt>
                <c:pt idx="37">
                  <c:v>3" Jali</c:v>
                </c:pt>
                <c:pt idx="38">
                  <c:v>1"×3/4" Tee</c:v>
                </c:pt>
                <c:pt idx="39">
                  <c:v>Wash Besin</c:v>
                </c:pt>
                <c:pt idx="40">
                  <c:v>3/4" B FTA</c:v>
                </c:pt>
                <c:pt idx="41">
                  <c:v>Waste Couplin</c:v>
                </c:pt>
                <c:pt idx="42">
                  <c:v>Solvent</c:v>
                </c:pt>
                <c:pt idx="43">
                  <c:v>Motor 1HP</c:v>
                </c:pt>
                <c:pt idx="44">
                  <c:v>1" Loose Pipe</c:v>
                </c:pt>
                <c:pt idx="45">
                  <c:v>Wash Besin Tap</c:v>
                </c:pt>
                <c:pt idx="46">
                  <c:v>3" Coupler</c:v>
                </c:pt>
                <c:pt idx="47">
                  <c:v>Waste Pipe</c:v>
                </c:pt>
                <c:pt idx="48">
                  <c:v>Faster Nut</c:v>
                </c:pt>
                <c:pt idx="49">
                  <c:v>Solvent PVC</c:v>
                </c:pt>
                <c:pt idx="50">
                  <c:v>3/4" Ferul</c:v>
                </c:pt>
              </c:strCache>
            </c:strRef>
          </c:cat>
          <c:val>
            <c:numRef>
              <c:f>'Pivot_Analysis - Week - 4'!$C$87:$C$138</c:f>
              <c:numCache>
                <c:formatCode>General</c:formatCode>
                <c:ptCount val="51"/>
                <c:pt idx="0">
                  <c:v>50</c:v>
                </c:pt>
                <c:pt idx="1">
                  <c:v>33</c:v>
                </c:pt>
                <c:pt idx="2">
                  <c:v>32</c:v>
                </c:pt>
                <c:pt idx="3">
                  <c:v>26</c:v>
                </c:pt>
                <c:pt idx="4">
                  <c:v>20</c:v>
                </c:pt>
                <c:pt idx="5">
                  <c:v>20</c:v>
                </c:pt>
                <c:pt idx="6">
                  <c:v>15</c:v>
                </c:pt>
                <c:pt idx="7">
                  <c:v>15</c:v>
                </c:pt>
                <c:pt idx="8">
                  <c:v>12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2-4462-BD69-46D7D864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361095"/>
        <c:axId val="1055891976"/>
      </c:barChart>
      <c:catAx>
        <c:axId val="142236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91976"/>
        <c:crosses val="autoZero"/>
        <c:auto val="1"/>
        <c:lblAlgn val="ctr"/>
        <c:lblOffset val="100"/>
        <c:noMultiLvlLbl val="0"/>
      </c:catAx>
      <c:valAx>
        <c:axId val="10558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6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( 31 Aug - 06 Sep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- 5'!$C$4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- 5'!$B$5:$B$12</c:f>
              <c:strCache>
                <c:ptCount val="7"/>
                <c:pt idx="0">
                  <c:v>31/08/2026</c:v>
                </c:pt>
                <c:pt idx="1">
                  <c:v>01/09/2026</c:v>
                </c:pt>
                <c:pt idx="2">
                  <c:v>02/09/2026</c:v>
                </c:pt>
                <c:pt idx="3">
                  <c:v>03/09/2026</c:v>
                </c:pt>
                <c:pt idx="4">
                  <c:v>04/09/2026</c:v>
                </c:pt>
                <c:pt idx="5">
                  <c:v>05/09/2026</c:v>
                </c:pt>
                <c:pt idx="6">
                  <c:v>06/09/2026</c:v>
                </c:pt>
              </c:strCache>
            </c:strRef>
          </c:cat>
          <c:val>
            <c:numRef>
              <c:f>'Pivot_Analysis - Week - 5'!$C$5:$C$12</c:f>
              <c:numCache>
                <c:formatCode>[$₹-439]#,##0.00</c:formatCode>
                <c:ptCount val="7"/>
                <c:pt idx="0">
                  <c:v>1064</c:v>
                </c:pt>
                <c:pt idx="1">
                  <c:v>813.4</c:v>
                </c:pt>
                <c:pt idx="2">
                  <c:v>853.6</c:v>
                </c:pt>
                <c:pt idx="3">
                  <c:v>299</c:v>
                </c:pt>
                <c:pt idx="4">
                  <c:v>755.5</c:v>
                </c:pt>
                <c:pt idx="5">
                  <c:v>376.6</c:v>
                </c:pt>
                <c:pt idx="6">
                  <c:v>688.25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D-4658-ADC1-837E02333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456"/>
        <c:axId val="17481224"/>
      </c:lineChart>
      <c:catAx>
        <c:axId val="1744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224"/>
        <c:crosses val="autoZero"/>
        <c:auto val="1"/>
        <c:lblAlgn val="ctr"/>
        <c:lblOffset val="100"/>
        <c:noMultiLvlLbl val="0"/>
      </c:catAx>
      <c:valAx>
        <c:axId val="1748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- 5'!$B$29:$B$72</c:f>
              <c:strCache>
                <c:ptCount val="43"/>
                <c:pt idx="0">
                  <c:v>3/4" Pipe</c:v>
                </c:pt>
                <c:pt idx="1">
                  <c:v>2 in 1 Diverter</c:v>
                </c:pt>
                <c:pt idx="2">
                  <c:v>Motor 1/2HP</c:v>
                </c:pt>
                <c:pt idx="3">
                  <c:v>Sit (Hindware)</c:v>
                </c:pt>
                <c:pt idx="4">
                  <c:v>Motor</c:v>
                </c:pt>
                <c:pt idx="5">
                  <c:v>3" Pipe</c:v>
                </c:pt>
                <c:pt idx="6">
                  <c:v>4" Pipe</c:v>
                </c:pt>
                <c:pt idx="7">
                  <c:v>1" Baipass</c:v>
                </c:pt>
                <c:pt idx="8">
                  <c:v>1/2" Loose Pipe</c:v>
                </c:pt>
                <c:pt idx="9">
                  <c:v>4" Band</c:v>
                </c:pt>
                <c:pt idx="10">
                  <c:v>Solvent 100ml</c:v>
                </c:pt>
                <c:pt idx="11">
                  <c:v>1" Pipe</c:v>
                </c:pt>
                <c:pt idx="12">
                  <c:v>3/4" Ferul</c:v>
                </c:pt>
                <c:pt idx="13">
                  <c:v>Loose Pipe</c:v>
                </c:pt>
                <c:pt idx="14">
                  <c:v>3/4" Baipass</c:v>
                </c:pt>
                <c:pt idx="15">
                  <c:v>Solvent 50ml</c:v>
                </c:pt>
                <c:pt idx="16">
                  <c:v>3/4" B FTA</c:v>
                </c:pt>
                <c:pt idx="17">
                  <c:v>3/4" Coupler</c:v>
                </c:pt>
                <c:pt idx="18">
                  <c:v>3/4" Elbow</c:v>
                </c:pt>
                <c:pt idx="19">
                  <c:v>3/4" 45° Elbow</c:v>
                </c:pt>
                <c:pt idx="20">
                  <c:v>Solvent 40ml</c:v>
                </c:pt>
                <c:pt idx="21">
                  <c:v>1/2" Ferul</c:v>
                </c:pt>
                <c:pt idx="22">
                  <c:v>3/4"×1/2" B Elbow</c:v>
                </c:pt>
                <c:pt idx="23">
                  <c:v>3" Band</c:v>
                </c:pt>
                <c:pt idx="24">
                  <c:v>3" Coupler</c:v>
                </c:pt>
                <c:pt idx="25">
                  <c:v>3" Baser</c:v>
                </c:pt>
                <c:pt idx="26">
                  <c:v>4" Nehali Trap</c:v>
                </c:pt>
                <c:pt idx="27">
                  <c:v>1" Coupler</c:v>
                </c:pt>
                <c:pt idx="28">
                  <c:v>Solvent</c:v>
                </c:pt>
                <c:pt idx="29">
                  <c:v>1" Elbow</c:v>
                </c:pt>
                <c:pt idx="30">
                  <c:v>3/4 " Elbow</c:v>
                </c:pt>
                <c:pt idx="31">
                  <c:v>3" Elbow</c:v>
                </c:pt>
                <c:pt idx="32">
                  <c:v>4" Tee</c:v>
                </c:pt>
                <c:pt idx="33">
                  <c:v>Solvent PVC</c:v>
                </c:pt>
                <c:pt idx="34">
                  <c:v>3" Jali</c:v>
                </c:pt>
                <c:pt idx="35">
                  <c:v>4" Coupler</c:v>
                </c:pt>
                <c:pt idx="36">
                  <c:v>4" Cut Jali</c:v>
                </c:pt>
                <c:pt idx="37">
                  <c:v>3/4"×1/2" B FTA</c:v>
                </c:pt>
                <c:pt idx="38">
                  <c:v>Solvent 10ml</c:v>
                </c:pt>
                <c:pt idx="39">
                  <c:v>Teplon</c:v>
                </c:pt>
                <c:pt idx="40">
                  <c:v>Jointer</c:v>
                </c:pt>
                <c:pt idx="41">
                  <c:v>Clip</c:v>
                </c:pt>
                <c:pt idx="42">
                  <c:v>Aree Blade</c:v>
                </c:pt>
              </c:strCache>
            </c:strRef>
          </c:cat>
          <c:val>
            <c:numRef>
              <c:f>'Pivot_Analysis - Week - 5'!$C$29:$C$72</c:f>
              <c:numCache>
                <c:formatCode>[$₹-439]#,##0.00</c:formatCode>
                <c:ptCount val="43"/>
                <c:pt idx="0">
                  <c:v>860</c:v>
                </c:pt>
                <c:pt idx="1">
                  <c:v>355</c:v>
                </c:pt>
                <c:pt idx="2">
                  <c:v>350</c:v>
                </c:pt>
                <c:pt idx="3">
                  <c:v>328</c:v>
                </c:pt>
                <c:pt idx="4">
                  <c:v>280</c:v>
                </c:pt>
                <c:pt idx="5">
                  <c:v>262</c:v>
                </c:pt>
                <c:pt idx="6">
                  <c:v>196</c:v>
                </c:pt>
                <c:pt idx="7">
                  <c:v>174</c:v>
                </c:pt>
                <c:pt idx="8">
                  <c:v>170</c:v>
                </c:pt>
                <c:pt idx="9">
                  <c:v>168</c:v>
                </c:pt>
                <c:pt idx="10">
                  <c:v>160</c:v>
                </c:pt>
                <c:pt idx="11">
                  <c:v>156</c:v>
                </c:pt>
                <c:pt idx="12">
                  <c:v>128</c:v>
                </c:pt>
                <c:pt idx="13">
                  <c:v>120</c:v>
                </c:pt>
                <c:pt idx="14">
                  <c:v>108</c:v>
                </c:pt>
                <c:pt idx="15">
                  <c:v>86</c:v>
                </c:pt>
                <c:pt idx="16">
                  <c:v>83</c:v>
                </c:pt>
                <c:pt idx="17">
                  <c:v>79.900000000000006</c:v>
                </c:pt>
                <c:pt idx="18">
                  <c:v>59</c:v>
                </c:pt>
                <c:pt idx="19">
                  <c:v>57.599999999999994</c:v>
                </c:pt>
                <c:pt idx="20">
                  <c:v>54</c:v>
                </c:pt>
                <c:pt idx="21">
                  <c:v>51</c:v>
                </c:pt>
                <c:pt idx="22">
                  <c:v>51</c:v>
                </c:pt>
                <c:pt idx="23">
                  <c:v>48</c:v>
                </c:pt>
                <c:pt idx="24">
                  <c:v>48</c:v>
                </c:pt>
                <c:pt idx="25">
                  <c:v>45</c:v>
                </c:pt>
                <c:pt idx="26">
                  <c:v>44</c:v>
                </c:pt>
                <c:pt idx="27">
                  <c:v>41.25</c:v>
                </c:pt>
                <c:pt idx="28">
                  <c:v>36</c:v>
                </c:pt>
                <c:pt idx="29">
                  <c:v>36</c:v>
                </c:pt>
                <c:pt idx="30">
                  <c:v>30</c:v>
                </c:pt>
                <c:pt idx="31">
                  <c:v>27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22</c:v>
                </c:pt>
                <c:pt idx="36">
                  <c:v>16</c:v>
                </c:pt>
                <c:pt idx="37">
                  <c:v>12</c:v>
                </c:pt>
                <c:pt idx="38">
                  <c:v>12</c:v>
                </c:pt>
                <c:pt idx="39">
                  <c:v>7.2000000000000064</c:v>
                </c:pt>
                <c:pt idx="40">
                  <c:v>6</c:v>
                </c:pt>
                <c:pt idx="41">
                  <c:v>6</c:v>
                </c:pt>
                <c:pt idx="42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1-464F-A127-57467089A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61928"/>
        <c:axId val="76571656"/>
      </c:barChart>
      <c:catAx>
        <c:axId val="7656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1656"/>
        <c:crosses val="autoZero"/>
        <c:auto val="1"/>
        <c:lblAlgn val="ctr"/>
        <c:lblOffset val="100"/>
        <c:noMultiLvlLbl val="0"/>
      </c:catAx>
      <c:valAx>
        <c:axId val="7657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- 5'!$B$83:$B$126</c:f>
              <c:strCache>
                <c:ptCount val="43"/>
                <c:pt idx="0">
                  <c:v>3/4" Pipe</c:v>
                </c:pt>
                <c:pt idx="1">
                  <c:v>3/4" Coupler</c:v>
                </c:pt>
                <c:pt idx="2">
                  <c:v>3/4" Elbow</c:v>
                </c:pt>
                <c:pt idx="3">
                  <c:v>1" Coupler</c:v>
                </c:pt>
                <c:pt idx="4">
                  <c:v>3" Baser</c:v>
                </c:pt>
                <c:pt idx="5">
                  <c:v>3/4 " Elbow</c:v>
                </c:pt>
                <c:pt idx="6">
                  <c:v>1" Pipe</c:v>
                </c:pt>
                <c:pt idx="7">
                  <c:v>3/4" 45° Elbow</c:v>
                </c:pt>
                <c:pt idx="8">
                  <c:v>3" Pipe</c:v>
                </c:pt>
                <c:pt idx="9">
                  <c:v>Teplon</c:v>
                </c:pt>
                <c:pt idx="10">
                  <c:v>4" Band</c:v>
                </c:pt>
                <c:pt idx="11">
                  <c:v>Aree Blade</c:v>
                </c:pt>
                <c:pt idx="12">
                  <c:v>1" Elbow</c:v>
                </c:pt>
                <c:pt idx="13">
                  <c:v>3/4" Baipass</c:v>
                </c:pt>
                <c:pt idx="14">
                  <c:v>Clip</c:v>
                </c:pt>
                <c:pt idx="15">
                  <c:v>3" Band</c:v>
                </c:pt>
                <c:pt idx="16">
                  <c:v>1" Baipass</c:v>
                </c:pt>
                <c:pt idx="17">
                  <c:v>3" Coupler</c:v>
                </c:pt>
                <c:pt idx="18">
                  <c:v>Solvent 40ml</c:v>
                </c:pt>
                <c:pt idx="19">
                  <c:v>Solvent 100ml</c:v>
                </c:pt>
                <c:pt idx="20">
                  <c:v>4" Pipe</c:v>
                </c:pt>
                <c:pt idx="21">
                  <c:v>Solvent 50ml</c:v>
                </c:pt>
                <c:pt idx="22">
                  <c:v>3" Elbow</c:v>
                </c:pt>
                <c:pt idx="23">
                  <c:v>3/4" B FTA</c:v>
                </c:pt>
                <c:pt idx="24">
                  <c:v>3/4"×1/2" B Elbow</c:v>
                </c:pt>
                <c:pt idx="25">
                  <c:v>Jointer</c:v>
                </c:pt>
                <c:pt idx="26">
                  <c:v>Solvent</c:v>
                </c:pt>
                <c:pt idx="27">
                  <c:v>4" Coupler</c:v>
                </c:pt>
                <c:pt idx="28">
                  <c:v>3/4" Ferul</c:v>
                </c:pt>
                <c:pt idx="29">
                  <c:v>Solvent 10ml</c:v>
                </c:pt>
                <c:pt idx="30">
                  <c:v>3" Jali</c:v>
                </c:pt>
                <c:pt idx="31">
                  <c:v>Solvent PVC</c:v>
                </c:pt>
                <c:pt idx="32">
                  <c:v>3/4"×1/2" B FTA</c:v>
                </c:pt>
                <c:pt idx="33">
                  <c:v>1/2" Loose Pipe</c:v>
                </c:pt>
                <c:pt idx="34">
                  <c:v>1/2" Ferul</c:v>
                </c:pt>
                <c:pt idx="35">
                  <c:v>4" Nehali Trap</c:v>
                </c:pt>
                <c:pt idx="36">
                  <c:v>4" Tee</c:v>
                </c:pt>
                <c:pt idx="37">
                  <c:v>Motor 1/2HP</c:v>
                </c:pt>
                <c:pt idx="38">
                  <c:v>2 in 1 Diverter</c:v>
                </c:pt>
                <c:pt idx="39">
                  <c:v>Sit (Hindware)</c:v>
                </c:pt>
                <c:pt idx="40">
                  <c:v>Loose Pipe</c:v>
                </c:pt>
                <c:pt idx="41">
                  <c:v>4" Cut Jali</c:v>
                </c:pt>
                <c:pt idx="42">
                  <c:v>Motor</c:v>
                </c:pt>
              </c:strCache>
            </c:strRef>
          </c:cat>
          <c:val>
            <c:numRef>
              <c:f>'Pivot_Analysis - Week - 5'!$C$83:$C$126</c:f>
              <c:numCache>
                <c:formatCode>General</c:formatCode>
                <c:ptCount val="43"/>
                <c:pt idx="0">
                  <c:v>58</c:v>
                </c:pt>
                <c:pt idx="1">
                  <c:v>43</c:v>
                </c:pt>
                <c:pt idx="2">
                  <c:v>26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A-449F-8F77-F30F62930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01800"/>
        <c:axId val="119203848"/>
      </c:barChart>
      <c:catAx>
        <c:axId val="11920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3848"/>
        <c:crosses val="autoZero"/>
        <c:auto val="1"/>
        <c:lblAlgn val="ctr"/>
        <c:lblOffset val="100"/>
        <c:noMultiLvlLbl val="0"/>
      </c:catAx>
      <c:valAx>
        <c:axId val="11920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"/>
              <c:pt idx="0">
                <c:v>03/08/2026</c:v>
              </c:pt>
              <c:pt idx="1">
                <c:v>04/08/2026</c:v>
              </c:pt>
              <c:pt idx="2">
                <c:v>05/08/2026</c:v>
              </c:pt>
              <c:pt idx="3">
                <c:v>06/08/2026</c:v>
              </c:pt>
              <c:pt idx="4">
                <c:v>07/08/2026</c:v>
              </c:pt>
              <c:pt idx="5">
                <c:v>08/08/2026</c:v>
              </c:pt>
              <c:pt idx="6">
                <c:v>09/08/2026</c:v>
              </c:pt>
            </c:strLit>
          </c:cat>
          <c:val>
            <c:numLit>
              <c:formatCode>General</c:formatCode>
              <c:ptCount val="7"/>
              <c:pt idx="0">
                <c:v>562.20000000000005</c:v>
              </c:pt>
              <c:pt idx="1">
                <c:v>683</c:v>
              </c:pt>
              <c:pt idx="2">
                <c:v>272</c:v>
              </c:pt>
              <c:pt idx="3">
                <c:v>558</c:v>
              </c:pt>
              <c:pt idx="4">
                <c:v>601.5</c:v>
              </c:pt>
              <c:pt idx="5">
                <c:v>399.4</c:v>
              </c:pt>
              <c:pt idx="6">
                <c:v>564.29999999999995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FA6-4103-9490-325B30D10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233736"/>
        <c:axId val="931352584"/>
      </c:lineChart>
      <c:catAx>
        <c:axId val="932233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52584"/>
        <c:crosses val="autoZero"/>
        <c:auto val="1"/>
        <c:lblAlgn val="ctr"/>
        <c:lblOffset val="100"/>
        <c:noMultiLvlLbl val="0"/>
      </c:catAx>
      <c:valAx>
        <c:axId val="931352584"/>
        <c:scaling>
          <c:orientation val="minMax"/>
          <c:max val="10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33736"/>
        <c:crosses val="autoZero"/>
        <c:crossBetween val="between"/>
        <c:majorUnit val="2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Handpump</c:v>
              </c:pt>
              <c:pt idx="1">
                <c:v>Tank Cover</c:v>
              </c:pt>
              <c:pt idx="2">
                <c:v>Stand Besin</c:v>
              </c:pt>
              <c:pt idx="3">
                <c:v>1" Pipe</c:v>
              </c:pt>
              <c:pt idx="4">
                <c:v>Flusher</c:v>
              </c:pt>
              <c:pt idx="5">
                <c:v>4" Pipe</c:v>
              </c:pt>
              <c:pt idx="6">
                <c:v>Tap</c:v>
              </c:pt>
              <c:pt idx="7">
                <c:v>Loose Pipe</c:v>
              </c:pt>
              <c:pt idx="8">
                <c:v>1" Elbow</c:v>
              </c:pt>
              <c:pt idx="9">
                <c:v>1/2"x12" Nepul</c:v>
              </c:pt>
              <c:pt idx="10">
                <c:v>Connection Pipe</c:v>
              </c:pt>
              <c:pt idx="11">
                <c:v>4" Band</c:v>
              </c:pt>
              <c:pt idx="12">
                <c:v>Solvent</c:v>
              </c:pt>
              <c:pt idx="13">
                <c:v>Long Tap</c:v>
              </c:pt>
              <c:pt idx="14">
                <c:v>4" Coupler</c:v>
              </c:pt>
              <c:pt idx="15">
                <c:v>Shower</c:v>
              </c:pt>
              <c:pt idx="16">
                <c:v>3/4" Checkvalve</c:v>
              </c:pt>
              <c:pt idx="17">
                <c:v>3" Pipe</c:v>
              </c:pt>
              <c:pt idx="18">
                <c:v>Solvent 10ml</c:v>
              </c:pt>
              <c:pt idx="19">
                <c:v>3" Coupler</c:v>
              </c:pt>
              <c:pt idx="20">
                <c:v>1/2" Pipe</c:v>
              </c:pt>
              <c:pt idx="21">
                <c:v>1" Ball Valve</c:v>
              </c:pt>
              <c:pt idx="22">
                <c:v>3" Band</c:v>
              </c:pt>
              <c:pt idx="23">
                <c:v>PVC Hook</c:v>
              </c:pt>
              <c:pt idx="24">
                <c:v>Angle Cock</c:v>
              </c:pt>
              <c:pt idx="25">
                <c:v>1½"x3/4" Rodiser</c:v>
              </c:pt>
              <c:pt idx="26">
                <c:v>5" Syphan</c:v>
              </c:pt>
              <c:pt idx="27">
                <c:v>Waste Pipe</c:v>
              </c:pt>
              <c:pt idx="28">
                <c:v>1½"x6" Nepul</c:v>
              </c:pt>
              <c:pt idx="29">
                <c:v>3" Tee</c:v>
              </c:pt>
              <c:pt idx="30">
                <c:v>3" End Cap</c:v>
              </c:pt>
              <c:pt idx="31">
                <c:v>Fan Hook</c:v>
              </c:pt>
              <c:pt idx="32">
                <c:v>4" Tee</c:v>
              </c:pt>
              <c:pt idx="33">
                <c:v>Solvent PVC</c:v>
              </c:pt>
              <c:pt idx="34">
                <c:v>White Cement</c:v>
              </c:pt>
              <c:pt idx="35">
                <c:v>1" Coupler</c:v>
              </c:pt>
              <c:pt idx="36">
                <c:v>3" Hook</c:v>
              </c:pt>
              <c:pt idx="37">
                <c:v>1"x4" Nepul</c:v>
              </c:pt>
              <c:pt idx="38">
                <c:v>4" Blade</c:v>
              </c:pt>
              <c:pt idx="39">
                <c:v>3/4"x3" Nepul</c:v>
              </c:pt>
              <c:pt idx="40">
                <c:v>M-Seal</c:v>
              </c:pt>
              <c:pt idx="41">
                <c:v>Plumber Masala</c:v>
              </c:pt>
              <c:pt idx="42">
                <c:v>3" Bocket</c:v>
              </c:pt>
              <c:pt idx="43">
                <c:v>Suta</c:v>
              </c:pt>
              <c:pt idx="44">
                <c:v>Aree Blade</c:v>
              </c:pt>
            </c:strLit>
          </c:cat>
          <c:val>
            <c:numLit>
              <c:formatCode>General</c:formatCode>
              <c:ptCount val="45"/>
              <c:pt idx="0">
                <c:v>470</c:v>
              </c:pt>
              <c:pt idx="1">
                <c:v>380</c:v>
              </c:pt>
              <c:pt idx="2">
                <c:v>256</c:v>
              </c:pt>
              <c:pt idx="3">
                <c:v>238</c:v>
              </c:pt>
              <c:pt idx="4">
                <c:v>220</c:v>
              </c:pt>
              <c:pt idx="5">
                <c:v>162</c:v>
              </c:pt>
              <c:pt idx="6">
                <c:v>126</c:v>
              </c:pt>
              <c:pt idx="7">
                <c:v>120</c:v>
              </c:pt>
              <c:pt idx="8">
                <c:v>97.5</c:v>
              </c:pt>
              <c:pt idx="9">
                <c:v>96</c:v>
              </c:pt>
              <c:pt idx="10">
                <c:v>94</c:v>
              </c:pt>
              <c:pt idx="11">
                <c:v>84</c:v>
              </c:pt>
              <c:pt idx="12">
                <c:v>76</c:v>
              </c:pt>
              <c:pt idx="13">
                <c:v>74</c:v>
              </c:pt>
              <c:pt idx="14">
                <c:v>72</c:v>
              </c:pt>
              <c:pt idx="15">
                <c:v>70</c:v>
              </c:pt>
              <c:pt idx="16">
                <c:v>70</c:v>
              </c:pt>
              <c:pt idx="17">
                <c:v>66</c:v>
              </c:pt>
              <c:pt idx="18">
                <c:v>64</c:v>
              </c:pt>
              <c:pt idx="19">
                <c:v>55</c:v>
              </c:pt>
              <c:pt idx="20">
                <c:v>54</c:v>
              </c:pt>
              <c:pt idx="21">
                <c:v>52</c:v>
              </c:pt>
              <c:pt idx="22">
                <c:v>48</c:v>
              </c:pt>
              <c:pt idx="23">
                <c:v>48</c:v>
              </c:pt>
              <c:pt idx="24">
                <c:v>48</c:v>
              </c:pt>
              <c:pt idx="25">
                <c:v>43</c:v>
              </c:pt>
              <c:pt idx="26">
                <c:v>40</c:v>
              </c:pt>
              <c:pt idx="27">
                <c:v>38</c:v>
              </c:pt>
              <c:pt idx="28">
                <c:v>36</c:v>
              </c:pt>
              <c:pt idx="29">
                <c:v>36</c:v>
              </c:pt>
              <c:pt idx="30">
                <c:v>32</c:v>
              </c:pt>
              <c:pt idx="31">
                <c:v>31.5</c:v>
              </c:pt>
              <c:pt idx="32">
                <c:v>30</c:v>
              </c:pt>
              <c:pt idx="33">
                <c:v>28</c:v>
              </c:pt>
              <c:pt idx="34">
                <c:v>26</c:v>
              </c:pt>
              <c:pt idx="35">
                <c:v>24</c:v>
              </c:pt>
              <c:pt idx="36">
                <c:v>21</c:v>
              </c:pt>
              <c:pt idx="37">
                <c:v>20</c:v>
              </c:pt>
              <c:pt idx="38">
                <c:v>18.900000000000006</c:v>
              </c:pt>
              <c:pt idx="39">
                <c:v>18</c:v>
              </c:pt>
              <c:pt idx="40">
                <c:v>14</c:v>
              </c:pt>
              <c:pt idx="41">
                <c:v>13.5</c:v>
              </c:pt>
              <c:pt idx="42">
                <c:v>12</c:v>
              </c:pt>
              <c:pt idx="43">
                <c:v>10.8</c:v>
              </c:pt>
              <c:pt idx="44">
                <c:v>7.2000000000000028</c:v>
              </c:pt>
            </c:numLit>
          </c:val>
          <c:extLst>
            <c:ext xmlns:c16="http://schemas.microsoft.com/office/drawing/2014/chart" uri="{C3380CC4-5D6E-409C-BE32-E72D297353CC}">
              <c16:uniqueId val="{00000000-C83F-4341-9F86-94887507B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874247"/>
        <c:axId val="2068876295"/>
      </c:barChart>
      <c:catAx>
        <c:axId val="20688742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6295"/>
        <c:crosses val="autoZero"/>
        <c:auto val="1"/>
        <c:lblAlgn val="ctr"/>
        <c:lblOffset val="100"/>
        <c:noMultiLvlLbl val="0"/>
      </c:catAx>
      <c:valAx>
        <c:axId val="206887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4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4" Blade</c:v>
              </c:pt>
              <c:pt idx="1">
                <c:v>PVC Hook</c:v>
              </c:pt>
              <c:pt idx="2">
                <c:v>1" Elbow</c:v>
              </c:pt>
              <c:pt idx="3">
                <c:v>1" Pipe</c:v>
              </c:pt>
              <c:pt idx="4">
                <c:v>Tap</c:v>
              </c:pt>
              <c:pt idx="5">
                <c:v>Solvent 10ml</c:v>
              </c:pt>
              <c:pt idx="6">
                <c:v>Aree Blade</c:v>
              </c:pt>
              <c:pt idx="7">
                <c:v>1" Coupler</c:v>
              </c:pt>
              <c:pt idx="8">
                <c:v>M-Seal</c:v>
              </c:pt>
              <c:pt idx="9">
                <c:v>3" Band</c:v>
              </c:pt>
              <c:pt idx="10">
                <c:v>4" Coupler</c:v>
              </c:pt>
              <c:pt idx="11">
                <c:v>3" Hook</c:v>
              </c:pt>
              <c:pt idx="12">
                <c:v>4" Pipe</c:v>
              </c:pt>
              <c:pt idx="13">
                <c:v>3" Coupler</c:v>
              </c:pt>
              <c:pt idx="14">
                <c:v>4" Band</c:v>
              </c:pt>
              <c:pt idx="15">
                <c:v>Solvent PVC</c:v>
              </c:pt>
              <c:pt idx="16">
                <c:v>1/2"x12" Nepul</c:v>
              </c:pt>
              <c:pt idx="17">
                <c:v>3" Bocket</c:v>
              </c:pt>
              <c:pt idx="18">
                <c:v>Suta</c:v>
              </c:pt>
              <c:pt idx="19">
                <c:v>Tank Cover</c:v>
              </c:pt>
              <c:pt idx="20">
                <c:v>Plumber Masala</c:v>
              </c:pt>
              <c:pt idx="21">
                <c:v>1/2" Pipe</c:v>
              </c:pt>
              <c:pt idx="22">
                <c:v>Fan Hook</c:v>
              </c:pt>
              <c:pt idx="23">
                <c:v>Handpump</c:v>
              </c:pt>
              <c:pt idx="24">
                <c:v>Stand Besin</c:v>
              </c:pt>
              <c:pt idx="25">
                <c:v>3/4"x3" Nepul</c:v>
              </c:pt>
              <c:pt idx="26">
                <c:v>Waste Pipe</c:v>
              </c:pt>
              <c:pt idx="27">
                <c:v>3" End Cap</c:v>
              </c:pt>
              <c:pt idx="28">
                <c:v>Connection Pipe</c:v>
              </c:pt>
              <c:pt idx="29">
                <c:v>Angle Cock</c:v>
              </c:pt>
              <c:pt idx="30">
                <c:v>1" Ball Valve</c:v>
              </c:pt>
              <c:pt idx="31">
                <c:v>White Cement</c:v>
              </c:pt>
              <c:pt idx="32">
                <c:v>3" Tee</c:v>
              </c:pt>
              <c:pt idx="33">
                <c:v>Solvent</c:v>
              </c:pt>
              <c:pt idx="34">
                <c:v>3" Pipe</c:v>
              </c:pt>
              <c:pt idx="35">
                <c:v>Long Tap</c:v>
              </c:pt>
              <c:pt idx="36">
                <c:v>4" Tee</c:v>
              </c:pt>
              <c:pt idx="37">
                <c:v>Flusher</c:v>
              </c:pt>
              <c:pt idx="38">
                <c:v>1½"x6" Nepul</c:v>
              </c:pt>
              <c:pt idx="39">
                <c:v>1½"x3/4" Rodiser</c:v>
              </c:pt>
              <c:pt idx="40">
                <c:v>1"x4" Nepul</c:v>
              </c:pt>
              <c:pt idx="41">
                <c:v>Shower</c:v>
              </c:pt>
              <c:pt idx="42">
                <c:v>Loose Pipe</c:v>
              </c:pt>
              <c:pt idx="43">
                <c:v>5" Syphan</c:v>
              </c:pt>
              <c:pt idx="44">
                <c:v>3/4" Checkvalve</c:v>
              </c:pt>
            </c:strLit>
          </c:cat>
          <c:val>
            <c:numLit>
              <c:formatCode>General</c:formatCode>
              <c:ptCount val="45"/>
              <c:pt idx="0">
                <c:v>21</c:v>
              </c:pt>
              <c:pt idx="1">
                <c:v>20</c:v>
              </c:pt>
              <c:pt idx="2">
                <c:v>15</c:v>
              </c:pt>
              <c:pt idx="3">
                <c:v>14</c:v>
              </c:pt>
              <c:pt idx="4">
                <c:v>14</c:v>
              </c:pt>
              <c:pt idx="5">
                <c:v>10</c:v>
              </c:pt>
              <c:pt idx="6">
                <c:v>8</c:v>
              </c:pt>
              <c:pt idx="7">
                <c:v>8</c:v>
              </c:pt>
              <c:pt idx="8">
                <c:v>7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6</c:v>
              </c:pt>
              <c:pt idx="13">
                <c:v>5</c:v>
              </c:pt>
              <c:pt idx="14">
                <c:v>4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2</c:v>
              </c:pt>
              <c:pt idx="25">
                <c:v>2</c:v>
              </c:pt>
              <c:pt idx="26">
                <c:v>2</c:v>
              </c:pt>
              <c:pt idx="27">
                <c:v>2</c:v>
              </c:pt>
              <c:pt idx="28">
                <c:v>2</c:v>
              </c:pt>
              <c:pt idx="29">
                <c:v>2</c:v>
              </c:pt>
              <c:pt idx="30">
                <c:v>2</c:v>
              </c:pt>
              <c:pt idx="31">
                <c:v>2</c:v>
              </c:pt>
              <c:pt idx="32">
                <c:v>2</c:v>
              </c:pt>
              <c:pt idx="33">
                <c:v>2</c:v>
              </c:pt>
              <c:pt idx="34">
                <c:v>2</c:v>
              </c:pt>
              <c:pt idx="35">
                <c:v>2</c:v>
              </c:pt>
              <c:pt idx="36">
                <c:v>2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202-4156-BA9B-30D9F6AC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614215"/>
        <c:axId val="1403616263"/>
      </c:barChart>
      <c:catAx>
        <c:axId val="1403614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6263"/>
        <c:crosses val="autoZero"/>
        <c:auto val="1"/>
        <c:lblAlgn val="ctr"/>
        <c:lblOffset val="100"/>
        <c:noMultiLvlLbl val="0"/>
      </c:catAx>
      <c:valAx>
        <c:axId val="140361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4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( 10 Aug - 16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 2'!$F$4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 2'!$E$5:$E$12</c:f>
              <c:strCache>
                <c:ptCount val="7"/>
                <c:pt idx="0">
                  <c:v>10/08/2026</c:v>
                </c:pt>
                <c:pt idx="1">
                  <c:v>11/08/2026</c:v>
                </c:pt>
                <c:pt idx="2">
                  <c:v>12/08/2026</c:v>
                </c:pt>
                <c:pt idx="3">
                  <c:v>13/08/2026</c:v>
                </c:pt>
                <c:pt idx="4">
                  <c:v>14/08/2026</c:v>
                </c:pt>
                <c:pt idx="5">
                  <c:v>15/08/2026</c:v>
                </c:pt>
                <c:pt idx="6">
                  <c:v>16/08/2026</c:v>
                </c:pt>
              </c:strCache>
            </c:strRef>
          </c:cat>
          <c:val>
            <c:numRef>
              <c:f>'Pivot_Analysis - Week -  2'!$F$5:$F$12</c:f>
              <c:numCache>
                <c:formatCode>[$₹-439]#,##0.00</c:formatCode>
                <c:ptCount val="7"/>
                <c:pt idx="0">
                  <c:v>326.2</c:v>
                </c:pt>
                <c:pt idx="1">
                  <c:v>327.8</c:v>
                </c:pt>
                <c:pt idx="2">
                  <c:v>607.79999999999995</c:v>
                </c:pt>
                <c:pt idx="3">
                  <c:v>421.00000000000006</c:v>
                </c:pt>
                <c:pt idx="4">
                  <c:v>450.3</c:v>
                </c:pt>
                <c:pt idx="5">
                  <c:v>457.5</c:v>
                </c:pt>
                <c:pt idx="6">
                  <c:v>492.8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8-4E95-B176-B61E4FAFF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52583"/>
        <c:axId val="250328583"/>
      </c:lineChart>
      <c:catAx>
        <c:axId val="24975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8583"/>
        <c:crosses val="autoZero"/>
        <c:auto val="1"/>
        <c:lblAlgn val="ctr"/>
        <c:lblOffset val="100"/>
        <c:noMultiLvlLbl val="0"/>
      </c:catAx>
      <c:valAx>
        <c:axId val="25032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5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2'!$N$5:$N$55</c:f>
              <c:strCache>
                <c:ptCount val="50"/>
                <c:pt idx="0">
                  <c:v>3/4" Cancilled</c:v>
                </c:pt>
                <c:pt idx="1">
                  <c:v>4" Pipe</c:v>
                </c:pt>
                <c:pt idx="2">
                  <c:v>1" Pipe</c:v>
                </c:pt>
                <c:pt idx="3">
                  <c:v>1" Loose Pipe</c:v>
                </c:pt>
                <c:pt idx="4">
                  <c:v>3/4" Pipe</c:v>
                </c:pt>
                <c:pt idx="5">
                  <c:v>1" Ball Valve</c:v>
                </c:pt>
                <c:pt idx="6">
                  <c:v>Seat</c:v>
                </c:pt>
                <c:pt idx="7">
                  <c:v>Fan Hook</c:v>
                </c:pt>
                <c:pt idx="8">
                  <c:v>Tap</c:v>
                </c:pt>
                <c:pt idx="9">
                  <c:v>Steel Angle Cock</c:v>
                </c:pt>
                <c:pt idx="10">
                  <c:v>3/4" PVC Hook</c:v>
                </c:pt>
                <c:pt idx="11">
                  <c:v>Solvent 100ml</c:v>
                </c:pt>
                <c:pt idx="12">
                  <c:v>Steel Tap</c:v>
                </c:pt>
                <c:pt idx="13">
                  <c:v>Tank Cover</c:v>
                </c:pt>
                <c:pt idx="14">
                  <c:v>5" Blade</c:v>
                </c:pt>
                <c:pt idx="15">
                  <c:v>1/2" Check Valve</c:v>
                </c:pt>
                <c:pt idx="16">
                  <c:v>Hand Shower</c:v>
                </c:pt>
                <c:pt idx="17">
                  <c:v>1/2" Connection Pipe</c:v>
                </c:pt>
                <c:pt idx="18">
                  <c:v>3" Band</c:v>
                </c:pt>
                <c:pt idx="19">
                  <c:v>4" Blade</c:v>
                </c:pt>
                <c:pt idx="20">
                  <c:v>1" Union</c:v>
                </c:pt>
                <c:pt idx="21">
                  <c:v>1/2" Plug</c:v>
                </c:pt>
                <c:pt idx="22">
                  <c:v>3" Pipe</c:v>
                </c:pt>
                <c:pt idx="23">
                  <c:v>3/4" Elbow</c:v>
                </c:pt>
                <c:pt idx="24">
                  <c:v>5"x4" Syphan</c:v>
                </c:pt>
                <c:pt idx="25">
                  <c:v>3" Gold Plenjer</c:v>
                </c:pt>
                <c:pt idx="26">
                  <c:v>1" Elbow</c:v>
                </c:pt>
                <c:pt idx="27">
                  <c:v>Solvent 50ml</c:v>
                </c:pt>
                <c:pt idx="28">
                  <c:v>Pump Handle</c:v>
                </c:pt>
                <c:pt idx="29">
                  <c:v>3" Jali</c:v>
                </c:pt>
                <c:pt idx="30">
                  <c:v>3" Y Tee</c:v>
                </c:pt>
                <c:pt idx="31">
                  <c:v>4" Band</c:v>
                </c:pt>
                <c:pt idx="32">
                  <c:v>3/4"x1/2" B Elbow</c:v>
                </c:pt>
                <c:pt idx="33">
                  <c:v>Sypahn Baser</c:v>
                </c:pt>
                <c:pt idx="34">
                  <c:v>4" Tee</c:v>
                </c:pt>
                <c:pt idx="35">
                  <c:v>3" Half Band</c:v>
                </c:pt>
                <c:pt idx="36">
                  <c:v>1/2" B MTA</c:v>
                </c:pt>
                <c:pt idx="37">
                  <c:v>1" Clip</c:v>
                </c:pt>
                <c:pt idx="38">
                  <c:v>3/4" Union</c:v>
                </c:pt>
                <c:pt idx="39">
                  <c:v>PVC Solvent</c:v>
                </c:pt>
                <c:pt idx="40">
                  <c:v>3/4" Ball Valve</c:v>
                </c:pt>
                <c:pt idx="41">
                  <c:v>1" MTA</c:v>
                </c:pt>
                <c:pt idx="42">
                  <c:v>1" Tee</c:v>
                </c:pt>
                <c:pt idx="43">
                  <c:v>Nut Bolt</c:v>
                </c:pt>
                <c:pt idx="44">
                  <c:v>Jointer</c:v>
                </c:pt>
                <c:pt idx="45">
                  <c:v>Teplon</c:v>
                </c:pt>
                <c:pt idx="46">
                  <c:v>1"x3/4" Buss</c:v>
                </c:pt>
                <c:pt idx="47">
                  <c:v>3" Bocket</c:v>
                </c:pt>
                <c:pt idx="48">
                  <c:v>1" Coupler</c:v>
                </c:pt>
                <c:pt idx="49">
                  <c:v>Solvent 20ml</c:v>
                </c:pt>
              </c:strCache>
            </c:strRef>
          </c:cat>
          <c:val>
            <c:numRef>
              <c:f>'Pivot_Analysis - Week -  2'!$O$5:$O$55</c:f>
              <c:numCache>
                <c:formatCode>[$₹-439]#,##0.00</c:formatCode>
                <c:ptCount val="50"/>
                <c:pt idx="0">
                  <c:v>270</c:v>
                </c:pt>
                <c:pt idx="1">
                  <c:v>200</c:v>
                </c:pt>
                <c:pt idx="2">
                  <c:v>165</c:v>
                </c:pt>
                <c:pt idx="3">
                  <c:v>160</c:v>
                </c:pt>
                <c:pt idx="4">
                  <c:v>158.00000000000006</c:v>
                </c:pt>
                <c:pt idx="5">
                  <c:v>149</c:v>
                </c:pt>
                <c:pt idx="6">
                  <c:v>120</c:v>
                </c:pt>
                <c:pt idx="7">
                  <c:v>94.5</c:v>
                </c:pt>
                <c:pt idx="8">
                  <c:v>90</c:v>
                </c:pt>
                <c:pt idx="9">
                  <c:v>82</c:v>
                </c:pt>
                <c:pt idx="10">
                  <c:v>81.599999999999994</c:v>
                </c:pt>
                <c:pt idx="11">
                  <c:v>80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66</c:v>
                </c:pt>
                <c:pt idx="19">
                  <c:v>64.800000000000011</c:v>
                </c:pt>
                <c:pt idx="20">
                  <c:v>62</c:v>
                </c:pt>
                <c:pt idx="21">
                  <c:v>60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42</c:v>
                </c:pt>
                <c:pt idx="26">
                  <c:v>39</c:v>
                </c:pt>
                <c:pt idx="27">
                  <c:v>39</c:v>
                </c:pt>
                <c:pt idx="28">
                  <c:v>36</c:v>
                </c:pt>
                <c:pt idx="29">
                  <c:v>36</c:v>
                </c:pt>
                <c:pt idx="30">
                  <c:v>34</c:v>
                </c:pt>
                <c:pt idx="31">
                  <c:v>33</c:v>
                </c:pt>
                <c:pt idx="32">
                  <c:v>32</c:v>
                </c:pt>
                <c:pt idx="33">
                  <c:v>28</c:v>
                </c:pt>
                <c:pt idx="34">
                  <c:v>26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20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16.200000000000003</c:v>
                </c:pt>
                <c:pt idx="43">
                  <c:v>16.200000000000003</c:v>
                </c:pt>
                <c:pt idx="44">
                  <c:v>15.599999999999998</c:v>
                </c:pt>
                <c:pt idx="45">
                  <c:v>14.000000000000007</c:v>
                </c:pt>
                <c:pt idx="46">
                  <c:v>14</c:v>
                </c:pt>
                <c:pt idx="47">
                  <c:v>12.5</c:v>
                </c:pt>
                <c:pt idx="48">
                  <c:v>12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C-4630-B8D7-EB010B766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945544"/>
        <c:axId val="979490312"/>
      </c:barChart>
      <c:catAx>
        <c:axId val="92294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0312"/>
        <c:crosses val="autoZero"/>
        <c:auto val="1"/>
        <c:lblAlgn val="ctr"/>
        <c:lblOffset val="100"/>
        <c:noMultiLvlLbl val="0"/>
      </c:catAx>
      <c:valAx>
        <c:axId val="97949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2'!$Y$5:$Y$55</c:f>
              <c:strCache>
                <c:ptCount val="50"/>
                <c:pt idx="0">
                  <c:v>3/4" PVC Hook</c:v>
                </c:pt>
                <c:pt idx="1">
                  <c:v>3/4" Elbow</c:v>
                </c:pt>
                <c:pt idx="2">
                  <c:v>1/2" Plug</c:v>
                </c:pt>
                <c:pt idx="3">
                  <c:v>Teplon</c:v>
                </c:pt>
                <c:pt idx="4">
                  <c:v>4" Blade</c:v>
                </c:pt>
                <c:pt idx="5">
                  <c:v>3/4" Pipe</c:v>
                </c:pt>
                <c:pt idx="6">
                  <c:v>1" Pipe</c:v>
                </c:pt>
                <c:pt idx="7">
                  <c:v>Fan Hook</c:v>
                </c:pt>
                <c:pt idx="8">
                  <c:v>4" Pipe</c:v>
                </c:pt>
                <c:pt idx="9">
                  <c:v>3" Band</c:v>
                </c:pt>
                <c:pt idx="10">
                  <c:v>1" Elbow</c:v>
                </c:pt>
                <c:pt idx="11">
                  <c:v>Nut Bolt</c:v>
                </c:pt>
                <c:pt idx="12">
                  <c:v>1" Clip</c:v>
                </c:pt>
                <c:pt idx="13">
                  <c:v>Tap</c:v>
                </c:pt>
                <c:pt idx="14">
                  <c:v>1" Coupler</c:v>
                </c:pt>
                <c:pt idx="15">
                  <c:v>1" Ball Valve</c:v>
                </c:pt>
                <c:pt idx="16">
                  <c:v>3/4"x1/2" B Elbow</c:v>
                </c:pt>
                <c:pt idx="17">
                  <c:v>1" Union</c:v>
                </c:pt>
                <c:pt idx="18">
                  <c:v>4" Band</c:v>
                </c:pt>
                <c:pt idx="19">
                  <c:v>Jointer</c:v>
                </c:pt>
                <c:pt idx="20">
                  <c:v>3/4" Cancilled</c:v>
                </c:pt>
                <c:pt idx="21">
                  <c:v>Steel Tap</c:v>
                </c:pt>
                <c:pt idx="22">
                  <c:v>3" Half Band</c:v>
                </c:pt>
                <c:pt idx="23">
                  <c:v>Solvent 50ml</c:v>
                </c:pt>
                <c:pt idx="24">
                  <c:v>3" Jali</c:v>
                </c:pt>
                <c:pt idx="25">
                  <c:v>1/2" B MTA</c:v>
                </c:pt>
                <c:pt idx="26">
                  <c:v>1" MTA</c:v>
                </c:pt>
                <c:pt idx="27">
                  <c:v>3/4" Union</c:v>
                </c:pt>
                <c:pt idx="28">
                  <c:v>3" Y Tee</c:v>
                </c:pt>
                <c:pt idx="29">
                  <c:v>Steel Angle Cock</c:v>
                </c:pt>
                <c:pt idx="30">
                  <c:v>Solvent 100ml</c:v>
                </c:pt>
                <c:pt idx="31">
                  <c:v>3" Pipe</c:v>
                </c:pt>
                <c:pt idx="32">
                  <c:v>1"x3/4" Buss</c:v>
                </c:pt>
                <c:pt idx="33">
                  <c:v>1" Tee</c:v>
                </c:pt>
                <c:pt idx="34">
                  <c:v>1/2" Connection Pipe</c:v>
                </c:pt>
                <c:pt idx="35">
                  <c:v>5" Blade</c:v>
                </c:pt>
                <c:pt idx="36">
                  <c:v>1" Loose Pipe</c:v>
                </c:pt>
                <c:pt idx="37">
                  <c:v>Tank Cover</c:v>
                </c:pt>
                <c:pt idx="38">
                  <c:v>Hand Shower</c:v>
                </c:pt>
                <c:pt idx="39">
                  <c:v>3" Bocket</c:v>
                </c:pt>
                <c:pt idx="40">
                  <c:v>4" Tee</c:v>
                </c:pt>
                <c:pt idx="41">
                  <c:v>Pump Handle</c:v>
                </c:pt>
                <c:pt idx="42">
                  <c:v>1/2" Check Valve</c:v>
                </c:pt>
                <c:pt idx="43">
                  <c:v>PVC Solvent</c:v>
                </c:pt>
                <c:pt idx="44">
                  <c:v>Sypahn Baser</c:v>
                </c:pt>
                <c:pt idx="45">
                  <c:v>Seat</c:v>
                </c:pt>
                <c:pt idx="46">
                  <c:v>3" Gold Plenjer</c:v>
                </c:pt>
                <c:pt idx="47">
                  <c:v>3/4" Ball Valve</c:v>
                </c:pt>
                <c:pt idx="48">
                  <c:v>Solvent 20ml</c:v>
                </c:pt>
                <c:pt idx="49">
                  <c:v>5"x4" Syphan</c:v>
                </c:pt>
              </c:strCache>
            </c:strRef>
          </c:cat>
          <c:val>
            <c:numRef>
              <c:f>'Pivot_Analysis - Week -  2'!$Z$5:$Z$55</c:f>
              <c:numCache>
                <c:formatCode>General</c:formatCode>
                <c:ptCount val="50"/>
                <c:pt idx="0">
                  <c:v>39</c:v>
                </c:pt>
                <c:pt idx="1">
                  <c:v>23</c:v>
                </c:pt>
                <c:pt idx="2">
                  <c:v>20</c:v>
                </c:pt>
                <c:pt idx="3">
                  <c:v>16</c:v>
                </c:pt>
                <c:pt idx="4">
                  <c:v>12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E-4691-8DE2-98FD99D9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82408"/>
        <c:axId val="985384456"/>
      </c:barChart>
      <c:catAx>
        <c:axId val="98538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4456"/>
        <c:crosses val="autoZero"/>
        <c:auto val="1"/>
        <c:lblAlgn val="ctr"/>
        <c:lblOffset val="100"/>
        <c:noMultiLvlLbl val="0"/>
      </c:catAx>
      <c:valAx>
        <c:axId val="9853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( 17 Aug - 23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- 3'!$C$4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- 3'!$B$5:$B$12</c:f>
              <c:strCache>
                <c:ptCount val="7"/>
                <c:pt idx="0">
                  <c:v>17/08/2026</c:v>
                </c:pt>
                <c:pt idx="1">
                  <c:v>18/08/2026</c:v>
                </c:pt>
                <c:pt idx="2">
                  <c:v>19/08/2026</c:v>
                </c:pt>
                <c:pt idx="3">
                  <c:v>20/08/2026</c:v>
                </c:pt>
                <c:pt idx="4">
                  <c:v>21/08/2026</c:v>
                </c:pt>
                <c:pt idx="5">
                  <c:v>22/08/2026</c:v>
                </c:pt>
                <c:pt idx="6">
                  <c:v>23/08/2026</c:v>
                </c:pt>
              </c:strCache>
            </c:strRef>
          </c:cat>
          <c:val>
            <c:numRef>
              <c:f>'Pivot_Analysis - Week - 3'!$C$5:$C$12</c:f>
              <c:numCache>
                <c:formatCode>[$₹-439]#,##0.00</c:formatCode>
                <c:ptCount val="7"/>
                <c:pt idx="0">
                  <c:v>552.5</c:v>
                </c:pt>
                <c:pt idx="1">
                  <c:v>494</c:v>
                </c:pt>
                <c:pt idx="2">
                  <c:v>377.5</c:v>
                </c:pt>
                <c:pt idx="3">
                  <c:v>855</c:v>
                </c:pt>
                <c:pt idx="4">
                  <c:v>452.4</c:v>
                </c:pt>
                <c:pt idx="5">
                  <c:v>903</c:v>
                </c:pt>
                <c:pt idx="6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A-4270-A20C-F5AEB7112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889224"/>
        <c:axId val="818889224"/>
      </c:lineChart>
      <c:catAx>
        <c:axId val="8508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89224"/>
        <c:crosses val="autoZero"/>
        <c:auto val="1"/>
        <c:lblAlgn val="ctr"/>
        <c:lblOffset val="100"/>
        <c:noMultiLvlLbl val="0"/>
      </c:catAx>
      <c:valAx>
        <c:axId val="81888922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- 3'!$B$25:$B$69</c:f>
              <c:strCache>
                <c:ptCount val="44"/>
                <c:pt idx="0">
                  <c:v>1/2" Cancilled</c:v>
                </c:pt>
                <c:pt idx="1">
                  <c:v>6" Pipe</c:v>
                </c:pt>
                <c:pt idx="2">
                  <c:v>Stand Besin</c:v>
                </c:pt>
                <c:pt idx="3">
                  <c:v>Tap</c:v>
                </c:pt>
                <c:pt idx="4">
                  <c:v>3/4" Pipe</c:v>
                </c:pt>
                <c:pt idx="5">
                  <c:v>Brass Shower</c:v>
                </c:pt>
                <c:pt idx="6">
                  <c:v>4" Pipe</c:v>
                </c:pt>
                <c:pt idx="7">
                  <c:v>Motor</c:v>
                </c:pt>
                <c:pt idx="8">
                  <c:v>6" Band</c:v>
                </c:pt>
                <c:pt idx="9">
                  <c:v>3" Pipe</c:v>
                </c:pt>
                <c:pt idx="10">
                  <c:v>4" Band</c:v>
                </c:pt>
                <c:pt idx="11">
                  <c:v>Seat</c:v>
                </c:pt>
                <c:pt idx="12">
                  <c:v>6"x5" Syphan</c:v>
                </c:pt>
                <c:pt idx="13">
                  <c:v>6" Hook</c:v>
                </c:pt>
                <c:pt idx="14">
                  <c:v>Flusher</c:v>
                </c:pt>
                <c:pt idx="15">
                  <c:v>Pillar Cock</c:v>
                </c:pt>
                <c:pt idx="16">
                  <c:v>1/2" B MTA</c:v>
                </c:pt>
                <c:pt idx="17">
                  <c:v>Solvent 100ml</c:v>
                </c:pt>
                <c:pt idx="18">
                  <c:v>4" Hook</c:v>
                </c:pt>
                <c:pt idx="19">
                  <c:v>1/2"x12" Nepul</c:v>
                </c:pt>
                <c:pt idx="20">
                  <c:v>4" Half Band</c:v>
                </c:pt>
                <c:pt idx="21">
                  <c:v>Sink Cock</c:v>
                </c:pt>
                <c:pt idx="22">
                  <c:v>3" Jali</c:v>
                </c:pt>
                <c:pt idx="23">
                  <c:v>4" Y Tee</c:v>
                </c:pt>
                <c:pt idx="24">
                  <c:v>5"x4" Syphan</c:v>
                </c:pt>
                <c:pt idx="25">
                  <c:v>3/4" Coupler</c:v>
                </c:pt>
                <c:pt idx="26">
                  <c:v>Teplon</c:v>
                </c:pt>
                <c:pt idx="27">
                  <c:v>1/2" Ferul</c:v>
                </c:pt>
                <c:pt idx="28">
                  <c:v>4" Coupler</c:v>
                </c:pt>
                <c:pt idx="29">
                  <c:v>3" Hook</c:v>
                </c:pt>
                <c:pt idx="30">
                  <c:v>3/4"x1/2" B Elbow</c:v>
                </c:pt>
                <c:pt idx="31">
                  <c:v>1/2" Connection Pipe</c:v>
                </c:pt>
                <c:pt idx="32">
                  <c:v>Sypahn Baser</c:v>
                </c:pt>
                <c:pt idx="33">
                  <c:v>5" Blade</c:v>
                </c:pt>
                <c:pt idx="34">
                  <c:v>3/4" Elbow</c:v>
                </c:pt>
                <c:pt idx="35">
                  <c:v>Faster Nut</c:v>
                </c:pt>
                <c:pt idx="36">
                  <c:v>Waste Coupling</c:v>
                </c:pt>
                <c:pt idx="37">
                  <c:v>Angle Cock</c:v>
                </c:pt>
                <c:pt idx="38">
                  <c:v>Waste Pipe</c:v>
                </c:pt>
                <c:pt idx="39">
                  <c:v>4"x3" Coupler</c:v>
                </c:pt>
                <c:pt idx="40">
                  <c:v>Solvent PVC</c:v>
                </c:pt>
                <c:pt idx="41">
                  <c:v>3/4"x1/2" B FTA</c:v>
                </c:pt>
                <c:pt idx="42">
                  <c:v>White Cement</c:v>
                </c:pt>
                <c:pt idx="43">
                  <c:v>4" Blade</c:v>
                </c:pt>
              </c:strCache>
            </c:strRef>
          </c:cat>
          <c:val>
            <c:numRef>
              <c:f>'Pivot_Analysis - Week - 3'!$C$25:$C$69</c:f>
              <c:numCache>
                <c:formatCode>[$₹-439]#,##0.00</c:formatCode>
                <c:ptCount val="44"/>
                <c:pt idx="0">
                  <c:v>270</c:v>
                </c:pt>
                <c:pt idx="1">
                  <c:v>255</c:v>
                </c:pt>
                <c:pt idx="2">
                  <c:v>250</c:v>
                </c:pt>
                <c:pt idx="3">
                  <c:v>220</c:v>
                </c:pt>
                <c:pt idx="4">
                  <c:v>220</c:v>
                </c:pt>
                <c:pt idx="5">
                  <c:v>210</c:v>
                </c:pt>
                <c:pt idx="6">
                  <c:v>208</c:v>
                </c:pt>
                <c:pt idx="7">
                  <c:v>200</c:v>
                </c:pt>
                <c:pt idx="8">
                  <c:v>170</c:v>
                </c:pt>
                <c:pt idx="9">
                  <c:v>168</c:v>
                </c:pt>
                <c:pt idx="10">
                  <c:v>168</c:v>
                </c:pt>
                <c:pt idx="11">
                  <c:v>150</c:v>
                </c:pt>
                <c:pt idx="12">
                  <c:v>130</c:v>
                </c:pt>
                <c:pt idx="13">
                  <c:v>130</c:v>
                </c:pt>
                <c:pt idx="14">
                  <c:v>128</c:v>
                </c:pt>
                <c:pt idx="15">
                  <c:v>107</c:v>
                </c:pt>
                <c:pt idx="16">
                  <c:v>93</c:v>
                </c:pt>
                <c:pt idx="17">
                  <c:v>85</c:v>
                </c:pt>
                <c:pt idx="18">
                  <c:v>84</c:v>
                </c:pt>
                <c:pt idx="19">
                  <c:v>72</c:v>
                </c:pt>
                <c:pt idx="20">
                  <c:v>63</c:v>
                </c:pt>
                <c:pt idx="21">
                  <c:v>60</c:v>
                </c:pt>
                <c:pt idx="22">
                  <c:v>48</c:v>
                </c:pt>
                <c:pt idx="23">
                  <c:v>48</c:v>
                </c:pt>
                <c:pt idx="24">
                  <c:v>45</c:v>
                </c:pt>
                <c:pt idx="25">
                  <c:v>42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35</c:v>
                </c:pt>
                <c:pt idx="30">
                  <c:v>33</c:v>
                </c:pt>
                <c:pt idx="31">
                  <c:v>30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24</c:v>
                </c:pt>
                <c:pt idx="36">
                  <c:v>22</c:v>
                </c:pt>
                <c:pt idx="37">
                  <c:v>18</c:v>
                </c:pt>
                <c:pt idx="38">
                  <c:v>18</c:v>
                </c:pt>
                <c:pt idx="39">
                  <c:v>15</c:v>
                </c:pt>
                <c:pt idx="40">
                  <c:v>14</c:v>
                </c:pt>
                <c:pt idx="41">
                  <c:v>9</c:v>
                </c:pt>
                <c:pt idx="42">
                  <c:v>7</c:v>
                </c:pt>
                <c:pt idx="43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D-42A1-89AF-564261711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23752"/>
        <c:axId val="625825800"/>
      </c:barChart>
      <c:catAx>
        <c:axId val="62582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5800"/>
        <c:crosses val="autoZero"/>
        <c:auto val="1"/>
        <c:lblAlgn val="ctr"/>
        <c:lblOffset val="100"/>
        <c:noMultiLvlLbl val="0"/>
      </c:catAx>
      <c:valAx>
        <c:axId val="62582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- 3'!$B$81:$B$125</c:f>
              <c:strCache>
                <c:ptCount val="44"/>
                <c:pt idx="0">
                  <c:v>Teplon</c:v>
                </c:pt>
                <c:pt idx="1">
                  <c:v>4" Hook</c:v>
                </c:pt>
                <c:pt idx="2">
                  <c:v>3/4" Coupler</c:v>
                </c:pt>
                <c:pt idx="3">
                  <c:v>3/4" Pipe</c:v>
                </c:pt>
                <c:pt idx="4">
                  <c:v>6" Hook</c:v>
                </c:pt>
                <c:pt idx="5">
                  <c:v>3" Hook</c:v>
                </c:pt>
                <c:pt idx="6">
                  <c:v>Tap</c:v>
                </c:pt>
                <c:pt idx="7">
                  <c:v>3/4" Elbow</c:v>
                </c:pt>
                <c:pt idx="8">
                  <c:v>4" Band</c:v>
                </c:pt>
                <c:pt idx="9">
                  <c:v>4" Pipe</c:v>
                </c:pt>
                <c:pt idx="10">
                  <c:v>3" Pipe</c:v>
                </c:pt>
                <c:pt idx="11">
                  <c:v>4" Blade</c:v>
                </c:pt>
                <c:pt idx="12">
                  <c:v>1/2" B MTA</c:v>
                </c:pt>
                <c:pt idx="13">
                  <c:v>6" Band</c:v>
                </c:pt>
                <c:pt idx="14">
                  <c:v>3" Jali</c:v>
                </c:pt>
                <c:pt idx="15">
                  <c:v>6" Pipe</c:v>
                </c:pt>
                <c:pt idx="16">
                  <c:v>Solvent 100ml</c:v>
                </c:pt>
                <c:pt idx="17">
                  <c:v>4" Coupler</c:v>
                </c:pt>
                <c:pt idx="18">
                  <c:v>4" Half Band</c:v>
                </c:pt>
                <c:pt idx="19">
                  <c:v>4" Y Tee</c:v>
                </c:pt>
                <c:pt idx="20">
                  <c:v>1/2" Cancilled</c:v>
                </c:pt>
                <c:pt idx="21">
                  <c:v>Solvent PVC</c:v>
                </c:pt>
                <c:pt idx="22">
                  <c:v>1/2"x12" Nepul</c:v>
                </c:pt>
                <c:pt idx="23">
                  <c:v>Pillar Cock</c:v>
                </c:pt>
                <c:pt idx="24">
                  <c:v>3/4"x1/2" B Elbow</c:v>
                </c:pt>
                <c:pt idx="25">
                  <c:v>5"x4" Syphan</c:v>
                </c:pt>
                <c:pt idx="26">
                  <c:v>1/2" Ferul</c:v>
                </c:pt>
                <c:pt idx="27">
                  <c:v>Sink Cock</c:v>
                </c:pt>
                <c:pt idx="28">
                  <c:v>Sypahn Baser</c:v>
                </c:pt>
                <c:pt idx="29">
                  <c:v>4"x3" Coupler</c:v>
                </c:pt>
                <c:pt idx="30">
                  <c:v>3/4"x1/2" B FTA</c:v>
                </c:pt>
                <c:pt idx="31">
                  <c:v>Seat</c:v>
                </c:pt>
                <c:pt idx="32">
                  <c:v>White Cement</c:v>
                </c:pt>
                <c:pt idx="33">
                  <c:v>1/2" Connection Pipe</c:v>
                </c:pt>
                <c:pt idx="34">
                  <c:v>Faster Nut</c:v>
                </c:pt>
                <c:pt idx="35">
                  <c:v>Stand Besin</c:v>
                </c:pt>
                <c:pt idx="36">
                  <c:v>Flusher</c:v>
                </c:pt>
                <c:pt idx="37">
                  <c:v>Motor</c:v>
                </c:pt>
                <c:pt idx="38">
                  <c:v>6"x5" Syphan</c:v>
                </c:pt>
                <c:pt idx="39">
                  <c:v>Waste Coupling</c:v>
                </c:pt>
                <c:pt idx="40">
                  <c:v>Waste Pipe</c:v>
                </c:pt>
                <c:pt idx="41">
                  <c:v>Brass Shower</c:v>
                </c:pt>
                <c:pt idx="42">
                  <c:v>Angle Cock</c:v>
                </c:pt>
                <c:pt idx="43">
                  <c:v>5" Blade</c:v>
                </c:pt>
              </c:strCache>
            </c:strRef>
          </c:cat>
          <c:val>
            <c:numRef>
              <c:f>'Pivot_Analysis - Week - 3'!$C$81:$C$125</c:f>
              <c:numCache>
                <c:formatCode>General</c:formatCode>
                <c:ptCount val="44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2-4F57-A74E-9298056E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47464"/>
        <c:axId val="814549512"/>
      </c:barChart>
      <c:catAx>
        <c:axId val="81454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9512"/>
        <c:crosses val="autoZero"/>
        <c:auto val="1"/>
        <c:lblAlgn val="ctr"/>
        <c:lblOffset val="100"/>
        <c:noMultiLvlLbl val="0"/>
      </c:catAx>
      <c:valAx>
        <c:axId val="8145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( 24 Aug to 30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- 4'!$C$4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- 4'!$B$5:$B$12</c:f>
              <c:strCache>
                <c:ptCount val="7"/>
                <c:pt idx="0">
                  <c:v>24/08/2026</c:v>
                </c:pt>
                <c:pt idx="1">
                  <c:v>25/08/2026</c:v>
                </c:pt>
                <c:pt idx="2">
                  <c:v>26/08/2026</c:v>
                </c:pt>
                <c:pt idx="3">
                  <c:v>27/08/2026</c:v>
                </c:pt>
                <c:pt idx="4">
                  <c:v>28/08/2026</c:v>
                </c:pt>
                <c:pt idx="5">
                  <c:v>29/08/2026</c:v>
                </c:pt>
                <c:pt idx="6">
                  <c:v>30/08/2026</c:v>
                </c:pt>
              </c:strCache>
            </c:strRef>
          </c:cat>
          <c:val>
            <c:numRef>
              <c:f>'Pivot_Analysis - Week - 4'!$C$5:$C$12</c:f>
              <c:numCache>
                <c:formatCode>[$₹-439]#,##0.00</c:formatCode>
                <c:ptCount val="7"/>
                <c:pt idx="0">
                  <c:v>260.60000000000002</c:v>
                </c:pt>
                <c:pt idx="1">
                  <c:v>795.8</c:v>
                </c:pt>
                <c:pt idx="2">
                  <c:v>957</c:v>
                </c:pt>
                <c:pt idx="3">
                  <c:v>192.5</c:v>
                </c:pt>
                <c:pt idx="4">
                  <c:v>394</c:v>
                </c:pt>
                <c:pt idx="5">
                  <c:v>936.5</c:v>
                </c:pt>
                <c:pt idx="6">
                  <c:v>671.4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8-4B63-BCF5-07EB4A9B8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604616"/>
        <c:axId val="1121606664"/>
      </c:lineChart>
      <c:catAx>
        <c:axId val="112160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6664"/>
        <c:crosses val="autoZero"/>
        <c:auto val="1"/>
        <c:lblAlgn val="ctr"/>
        <c:lblOffset val="100"/>
        <c:noMultiLvlLbl val="0"/>
      </c:catAx>
      <c:valAx>
        <c:axId val="112160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- 4'!$B$26:$B$77</c:f>
              <c:strCache>
                <c:ptCount val="51"/>
                <c:pt idx="0">
                  <c:v>Motor 1HP</c:v>
                </c:pt>
                <c:pt idx="1">
                  <c:v>3/4" Pipe</c:v>
                </c:pt>
                <c:pt idx="2">
                  <c:v>1" Loose Pipe</c:v>
                </c:pt>
                <c:pt idx="3">
                  <c:v>1" Pipe</c:v>
                </c:pt>
                <c:pt idx="4">
                  <c:v>3" Y Tee</c:v>
                </c:pt>
                <c:pt idx="5">
                  <c:v>Solvent 50ml</c:v>
                </c:pt>
                <c:pt idx="6">
                  <c:v>3/4" Check Valve</c:v>
                </c:pt>
                <c:pt idx="7">
                  <c:v>1"×1/2" B Elbow</c:v>
                </c:pt>
                <c:pt idx="8">
                  <c:v>3" Pipe</c:v>
                </c:pt>
                <c:pt idx="9">
                  <c:v>4" Pipe</c:v>
                </c:pt>
                <c:pt idx="10">
                  <c:v>Wash Besin</c:v>
                </c:pt>
                <c:pt idx="11">
                  <c:v>1" Elbow</c:v>
                </c:pt>
                <c:pt idx="12">
                  <c:v>4" Band</c:v>
                </c:pt>
                <c:pt idx="13">
                  <c:v>1/2" Plug</c:v>
                </c:pt>
                <c:pt idx="14">
                  <c:v>1"×1/2" B Tee</c:v>
                </c:pt>
                <c:pt idx="15">
                  <c:v>GI Hook</c:v>
                </c:pt>
                <c:pt idx="16">
                  <c:v>4" Tee</c:v>
                </c:pt>
                <c:pt idx="17">
                  <c:v>Tap</c:v>
                </c:pt>
                <c:pt idx="18">
                  <c:v>1"×12" Nepul</c:v>
                </c:pt>
                <c:pt idx="19">
                  <c:v>3" Half Band</c:v>
                </c:pt>
                <c:pt idx="20">
                  <c:v>1/2" Ferul</c:v>
                </c:pt>
                <c:pt idx="21">
                  <c:v>3/4" Ferul</c:v>
                </c:pt>
                <c:pt idx="22">
                  <c:v>4" Blade</c:v>
                </c:pt>
                <c:pt idx="23">
                  <c:v>1/2" Check Valve</c:v>
                </c:pt>
                <c:pt idx="24">
                  <c:v>3/4" Elbow</c:v>
                </c:pt>
                <c:pt idx="25">
                  <c:v>3/4"×1/2" B Elbow</c:v>
                </c:pt>
                <c:pt idx="26">
                  <c:v>Wash Besin Tap</c:v>
                </c:pt>
                <c:pt idx="27">
                  <c:v>3/4" Coupler</c:v>
                </c:pt>
                <c:pt idx="28">
                  <c:v>1" Coupler</c:v>
                </c:pt>
                <c:pt idx="29">
                  <c:v>3/4 " Elbow</c:v>
                </c:pt>
                <c:pt idx="30">
                  <c:v>Solvent 40ml</c:v>
                </c:pt>
                <c:pt idx="31">
                  <c:v>3/4" B FTA</c:v>
                </c:pt>
                <c:pt idx="32">
                  <c:v>Loha Brush</c:v>
                </c:pt>
                <c:pt idx="33">
                  <c:v>Clip</c:v>
                </c:pt>
                <c:pt idx="34">
                  <c:v>Waste Couplin</c:v>
                </c:pt>
                <c:pt idx="35">
                  <c:v>1"×3/4" Buss</c:v>
                </c:pt>
                <c:pt idx="36">
                  <c:v>1"×3/4" Tee</c:v>
                </c:pt>
                <c:pt idx="37">
                  <c:v>White Cement</c:v>
                </c:pt>
                <c:pt idx="38">
                  <c:v>1"×3/4" Coupler</c:v>
                </c:pt>
                <c:pt idx="39">
                  <c:v>3" Jali</c:v>
                </c:pt>
                <c:pt idx="40">
                  <c:v>Solvent</c:v>
                </c:pt>
                <c:pt idx="41">
                  <c:v>Waste Pipe</c:v>
                </c:pt>
                <c:pt idx="42">
                  <c:v>Solvent PVC</c:v>
                </c:pt>
                <c:pt idx="43">
                  <c:v>Solvent 10ml</c:v>
                </c:pt>
                <c:pt idx="44">
                  <c:v>3" Coupler</c:v>
                </c:pt>
                <c:pt idx="45">
                  <c:v>Faster Nut</c:v>
                </c:pt>
                <c:pt idx="46">
                  <c:v>1"×3/4" Elbow</c:v>
                </c:pt>
                <c:pt idx="47">
                  <c:v>Jointer</c:v>
                </c:pt>
                <c:pt idx="48">
                  <c:v>Aree Blade</c:v>
                </c:pt>
                <c:pt idx="49">
                  <c:v>M-Seal</c:v>
                </c:pt>
                <c:pt idx="50">
                  <c:v>1" MTA</c:v>
                </c:pt>
              </c:strCache>
            </c:strRef>
          </c:cat>
          <c:val>
            <c:numRef>
              <c:f>'Pivot_Analysis - Week - 4'!$C$26:$C$77</c:f>
              <c:numCache>
                <c:formatCode>[$₹-439]#,##0.00</c:formatCode>
                <c:ptCount val="51"/>
                <c:pt idx="0">
                  <c:v>450</c:v>
                </c:pt>
                <c:pt idx="1">
                  <c:v>377</c:v>
                </c:pt>
                <c:pt idx="2">
                  <c:v>274</c:v>
                </c:pt>
                <c:pt idx="3">
                  <c:v>255</c:v>
                </c:pt>
                <c:pt idx="4">
                  <c:v>200</c:v>
                </c:pt>
                <c:pt idx="5">
                  <c:v>194</c:v>
                </c:pt>
                <c:pt idx="6">
                  <c:v>190</c:v>
                </c:pt>
                <c:pt idx="7">
                  <c:v>186</c:v>
                </c:pt>
                <c:pt idx="8">
                  <c:v>168</c:v>
                </c:pt>
                <c:pt idx="9">
                  <c:v>141</c:v>
                </c:pt>
                <c:pt idx="10">
                  <c:v>138</c:v>
                </c:pt>
                <c:pt idx="11">
                  <c:v>128</c:v>
                </c:pt>
                <c:pt idx="12">
                  <c:v>126</c:v>
                </c:pt>
                <c:pt idx="13">
                  <c:v>110</c:v>
                </c:pt>
                <c:pt idx="14">
                  <c:v>100</c:v>
                </c:pt>
                <c:pt idx="15">
                  <c:v>84.999999999999972</c:v>
                </c:pt>
                <c:pt idx="16">
                  <c:v>78</c:v>
                </c:pt>
                <c:pt idx="17">
                  <c:v>72</c:v>
                </c:pt>
                <c:pt idx="18">
                  <c:v>72</c:v>
                </c:pt>
                <c:pt idx="19">
                  <c:v>72</c:v>
                </c:pt>
                <c:pt idx="20">
                  <c:v>72</c:v>
                </c:pt>
                <c:pt idx="21">
                  <c:v>64</c:v>
                </c:pt>
                <c:pt idx="22">
                  <c:v>60</c:v>
                </c:pt>
                <c:pt idx="23">
                  <c:v>56</c:v>
                </c:pt>
                <c:pt idx="24">
                  <c:v>50</c:v>
                </c:pt>
                <c:pt idx="25">
                  <c:v>45</c:v>
                </c:pt>
                <c:pt idx="26">
                  <c:v>40</c:v>
                </c:pt>
                <c:pt idx="27">
                  <c:v>39.599999999999994</c:v>
                </c:pt>
                <c:pt idx="28">
                  <c:v>37.5</c:v>
                </c:pt>
                <c:pt idx="29">
                  <c:v>30</c:v>
                </c:pt>
                <c:pt idx="30">
                  <c:v>27</c:v>
                </c:pt>
                <c:pt idx="31">
                  <c:v>26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16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9</c:v>
                </c:pt>
                <c:pt idx="46">
                  <c:v>8</c:v>
                </c:pt>
                <c:pt idx="47">
                  <c:v>6.7999999999999972</c:v>
                </c:pt>
                <c:pt idx="48">
                  <c:v>6.4000000000000057</c:v>
                </c:pt>
                <c:pt idx="49">
                  <c:v>4.5000000000000018</c:v>
                </c:pt>
                <c:pt idx="5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9-4F83-90A9-EB56373B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442568"/>
        <c:axId val="29921287"/>
      </c:barChart>
      <c:catAx>
        <c:axId val="126944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1287"/>
        <c:crosses val="autoZero"/>
        <c:auto val="1"/>
        <c:lblAlgn val="ctr"/>
        <c:lblOffset val="100"/>
        <c:noMultiLvlLbl val="0"/>
      </c:catAx>
      <c:valAx>
        <c:axId val="2992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442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- 4'!$C$86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- 4'!$B$87:$B$138</c:f>
              <c:strCache>
                <c:ptCount val="51"/>
                <c:pt idx="0">
                  <c:v>GI Hook</c:v>
                </c:pt>
                <c:pt idx="1">
                  <c:v>3/4" Pipe</c:v>
                </c:pt>
                <c:pt idx="2">
                  <c:v>1" Elbow</c:v>
                </c:pt>
                <c:pt idx="3">
                  <c:v>3/4" Coupler</c:v>
                </c:pt>
                <c:pt idx="4">
                  <c:v>1/2" Plug</c:v>
                </c:pt>
                <c:pt idx="5">
                  <c:v>3/4" Elbow</c:v>
                </c:pt>
                <c:pt idx="6">
                  <c:v>1" Coupler</c:v>
                </c:pt>
                <c:pt idx="7">
                  <c:v>1" Pipe</c:v>
                </c:pt>
                <c:pt idx="8">
                  <c:v>3/4 " Elbow</c:v>
                </c:pt>
                <c:pt idx="9">
                  <c:v>Clip</c:v>
                </c:pt>
                <c:pt idx="10">
                  <c:v>Solvent 50ml</c:v>
                </c:pt>
                <c:pt idx="11">
                  <c:v>Aree Blade</c:v>
                </c:pt>
                <c:pt idx="12">
                  <c:v>3" Y Tee</c:v>
                </c:pt>
                <c:pt idx="13">
                  <c:v>3" Half Band</c:v>
                </c:pt>
                <c:pt idx="14">
                  <c:v>3" Pipe</c:v>
                </c:pt>
                <c:pt idx="15">
                  <c:v>1"×1/2" B Elbow</c:v>
                </c:pt>
                <c:pt idx="16">
                  <c:v>4" Band</c:v>
                </c:pt>
                <c:pt idx="17">
                  <c:v>M-Seal</c:v>
                </c:pt>
                <c:pt idx="18">
                  <c:v>Jointer</c:v>
                </c:pt>
                <c:pt idx="19">
                  <c:v>1"×3/4" Buss</c:v>
                </c:pt>
                <c:pt idx="20">
                  <c:v>1" MTA</c:v>
                </c:pt>
                <c:pt idx="21">
                  <c:v>Tap</c:v>
                </c:pt>
                <c:pt idx="22">
                  <c:v>1"×1/2" B Tee</c:v>
                </c:pt>
                <c:pt idx="23">
                  <c:v>3/4"×1/2" B Elbow</c:v>
                </c:pt>
                <c:pt idx="24">
                  <c:v>Solvent 40ml</c:v>
                </c:pt>
                <c:pt idx="25">
                  <c:v>4" Pipe</c:v>
                </c:pt>
                <c:pt idx="26">
                  <c:v>3/4" Check Valve</c:v>
                </c:pt>
                <c:pt idx="27">
                  <c:v>4" Blade</c:v>
                </c:pt>
                <c:pt idx="28">
                  <c:v>4" Tee</c:v>
                </c:pt>
                <c:pt idx="29">
                  <c:v>1/2" Ferul</c:v>
                </c:pt>
                <c:pt idx="30">
                  <c:v>Loha Brush</c:v>
                </c:pt>
                <c:pt idx="31">
                  <c:v>White Cement</c:v>
                </c:pt>
                <c:pt idx="32">
                  <c:v>1"×12" Nepul</c:v>
                </c:pt>
                <c:pt idx="33">
                  <c:v>Solvent 10ml</c:v>
                </c:pt>
                <c:pt idx="34">
                  <c:v>1"×3/4" Coupler</c:v>
                </c:pt>
                <c:pt idx="35">
                  <c:v>1"×3/4" Elbow</c:v>
                </c:pt>
                <c:pt idx="36">
                  <c:v>1/2" Check Valve</c:v>
                </c:pt>
                <c:pt idx="37">
                  <c:v>3" Jali</c:v>
                </c:pt>
                <c:pt idx="38">
                  <c:v>1"×3/4" Tee</c:v>
                </c:pt>
                <c:pt idx="39">
                  <c:v>Wash Besin</c:v>
                </c:pt>
                <c:pt idx="40">
                  <c:v>3/4" B FTA</c:v>
                </c:pt>
                <c:pt idx="41">
                  <c:v>Waste Couplin</c:v>
                </c:pt>
                <c:pt idx="42">
                  <c:v>Solvent</c:v>
                </c:pt>
                <c:pt idx="43">
                  <c:v>Motor 1HP</c:v>
                </c:pt>
                <c:pt idx="44">
                  <c:v>1" Loose Pipe</c:v>
                </c:pt>
                <c:pt idx="45">
                  <c:v>Wash Besin Tap</c:v>
                </c:pt>
                <c:pt idx="46">
                  <c:v>3" Coupler</c:v>
                </c:pt>
                <c:pt idx="47">
                  <c:v>Waste Pipe</c:v>
                </c:pt>
                <c:pt idx="48">
                  <c:v>Faster Nut</c:v>
                </c:pt>
                <c:pt idx="49">
                  <c:v>Solvent PVC</c:v>
                </c:pt>
                <c:pt idx="50">
                  <c:v>3/4" Ferul</c:v>
                </c:pt>
              </c:strCache>
            </c:strRef>
          </c:cat>
          <c:val>
            <c:numRef>
              <c:f>'Pivot_Analysis - Week - 4'!$C$87:$C$138</c:f>
              <c:numCache>
                <c:formatCode>General</c:formatCode>
                <c:ptCount val="51"/>
                <c:pt idx="0">
                  <c:v>50</c:v>
                </c:pt>
                <c:pt idx="1">
                  <c:v>33</c:v>
                </c:pt>
                <c:pt idx="2">
                  <c:v>32</c:v>
                </c:pt>
                <c:pt idx="3">
                  <c:v>26</c:v>
                </c:pt>
                <c:pt idx="4">
                  <c:v>20</c:v>
                </c:pt>
                <c:pt idx="5">
                  <c:v>20</c:v>
                </c:pt>
                <c:pt idx="6">
                  <c:v>15</c:v>
                </c:pt>
                <c:pt idx="7">
                  <c:v>15</c:v>
                </c:pt>
                <c:pt idx="8">
                  <c:v>12</c:v>
                </c:pt>
                <c:pt idx="9">
                  <c:v>12</c:v>
                </c:pt>
                <c:pt idx="10">
                  <c:v>9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A-41D6-AF2B-1CA90468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361095"/>
        <c:axId val="1055891976"/>
      </c:barChart>
      <c:catAx>
        <c:axId val="142236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91976"/>
        <c:crosses val="autoZero"/>
        <c:auto val="1"/>
        <c:lblAlgn val="ctr"/>
        <c:lblOffset val="100"/>
        <c:noMultiLvlLbl val="0"/>
      </c:catAx>
      <c:valAx>
        <c:axId val="10558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361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( 31 Aug - 06 Sep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- 5'!$C$4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- 5'!$B$5:$B$12</c:f>
              <c:strCache>
                <c:ptCount val="7"/>
                <c:pt idx="0">
                  <c:v>31/08/2026</c:v>
                </c:pt>
                <c:pt idx="1">
                  <c:v>01/09/2026</c:v>
                </c:pt>
                <c:pt idx="2">
                  <c:v>02/09/2026</c:v>
                </c:pt>
                <c:pt idx="3">
                  <c:v>03/09/2026</c:v>
                </c:pt>
                <c:pt idx="4">
                  <c:v>04/09/2026</c:v>
                </c:pt>
                <c:pt idx="5">
                  <c:v>05/09/2026</c:v>
                </c:pt>
                <c:pt idx="6">
                  <c:v>06/09/2026</c:v>
                </c:pt>
              </c:strCache>
            </c:strRef>
          </c:cat>
          <c:val>
            <c:numRef>
              <c:f>'Pivot_Analysis - Week - 5'!$C$5:$C$12</c:f>
              <c:numCache>
                <c:formatCode>[$₹-439]#,##0.00</c:formatCode>
                <c:ptCount val="7"/>
                <c:pt idx="0">
                  <c:v>1064</c:v>
                </c:pt>
                <c:pt idx="1">
                  <c:v>813.4</c:v>
                </c:pt>
                <c:pt idx="2">
                  <c:v>853.6</c:v>
                </c:pt>
                <c:pt idx="3">
                  <c:v>299</c:v>
                </c:pt>
                <c:pt idx="4">
                  <c:v>755.5</c:v>
                </c:pt>
                <c:pt idx="5">
                  <c:v>376.6</c:v>
                </c:pt>
                <c:pt idx="6">
                  <c:v>688.25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0-453A-8D8C-2D3084AB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8456"/>
        <c:axId val="17481224"/>
      </c:lineChart>
      <c:catAx>
        <c:axId val="1744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1224"/>
        <c:crosses val="autoZero"/>
        <c:auto val="1"/>
        <c:lblAlgn val="ctr"/>
        <c:lblOffset val="100"/>
        <c:noMultiLvlLbl val="0"/>
      </c:catAx>
      <c:valAx>
        <c:axId val="1748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- 5'!$B$29:$B$72</c:f>
              <c:strCache>
                <c:ptCount val="43"/>
                <c:pt idx="0">
                  <c:v>3/4" Pipe</c:v>
                </c:pt>
                <c:pt idx="1">
                  <c:v>2 in 1 Diverter</c:v>
                </c:pt>
                <c:pt idx="2">
                  <c:v>Motor 1/2HP</c:v>
                </c:pt>
                <c:pt idx="3">
                  <c:v>Sit (Hindware)</c:v>
                </c:pt>
                <c:pt idx="4">
                  <c:v>Motor</c:v>
                </c:pt>
                <c:pt idx="5">
                  <c:v>3" Pipe</c:v>
                </c:pt>
                <c:pt idx="6">
                  <c:v>4" Pipe</c:v>
                </c:pt>
                <c:pt idx="7">
                  <c:v>1" Baipass</c:v>
                </c:pt>
                <c:pt idx="8">
                  <c:v>1/2" Loose Pipe</c:v>
                </c:pt>
                <c:pt idx="9">
                  <c:v>4" Band</c:v>
                </c:pt>
                <c:pt idx="10">
                  <c:v>Solvent 100ml</c:v>
                </c:pt>
                <c:pt idx="11">
                  <c:v>1" Pipe</c:v>
                </c:pt>
                <c:pt idx="12">
                  <c:v>3/4" Ferul</c:v>
                </c:pt>
                <c:pt idx="13">
                  <c:v>Loose Pipe</c:v>
                </c:pt>
                <c:pt idx="14">
                  <c:v>3/4" Baipass</c:v>
                </c:pt>
                <c:pt idx="15">
                  <c:v>Solvent 50ml</c:v>
                </c:pt>
                <c:pt idx="16">
                  <c:v>3/4" B FTA</c:v>
                </c:pt>
                <c:pt idx="17">
                  <c:v>3/4" Coupler</c:v>
                </c:pt>
                <c:pt idx="18">
                  <c:v>3/4" Elbow</c:v>
                </c:pt>
                <c:pt idx="19">
                  <c:v>3/4" 45° Elbow</c:v>
                </c:pt>
                <c:pt idx="20">
                  <c:v>Solvent 40ml</c:v>
                </c:pt>
                <c:pt idx="21">
                  <c:v>1/2" Ferul</c:v>
                </c:pt>
                <c:pt idx="22">
                  <c:v>3/4"×1/2" B Elbow</c:v>
                </c:pt>
                <c:pt idx="23">
                  <c:v>3" Band</c:v>
                </c:pt>
                <c:pt idx="24">
                  <c:v>3" Coupler</c:v>
                </c:pt>
                <c:pt idx="25">
                  <c:v>3" Baser</c:v>
                </c:pt>
                <c:pt idx="26">
                  <c:v>4" Nehali Trap</c:v>
                </c:pt>
                <c:pt idx="27">
                  <c:v>1" Coupler</c:v>
                </c:pt>
                <c:pt idx="28">
                  <c:v>Solvent</c:v>
                </c:pt>
                <c:pt idx="29">
                  <c:v>1" Elbow</c:v>
                </c:pt>
                <c:pt idx="30">
                  <c:v>3/4 " Elbow</c:v>
                </c:pt>
                <c:pt idx="31">
                  <c:v>3" Elbow</c:v>
                </c:pt>
                <c:pt idx="32">
                  <c:v>4" Tee</c:v>
                </c:pt>
                <c:pt idx="33">
                  <c:v>Solvent PVC</c:v>
                </c:pt>
                <c:pt idx="34">
                  <c:v>3" Jali</c:v>
                </c:pt>
                <c:pt idx="35">
                  <c:v>4" Coupler</c:v>
                </c:pt>
                <c:pt idx="36">
                  <c:v>4" Cut Jali</c:v>
                </c:pt>
                <c:pt idx="37">
                  <c:v>3/4"×1/2" B FTA</c:v>
                </c:pt>
                <c:pt idx="38">
                  <c:v>Solvent 10ml</c:v>
                </c:pt>
                <c:pt idx="39">
                  <c:v>Teplon</c:v>
                </c:pt>
                <c:pt idx="40">
                  <c:v>Jointer</c:v>
                </c:pt>
                <c:pt idx="41">
                  <c:v>Clip</c:v>
                </c:pt>
                <c:pt idx="42">
                  <c:v>Aree Blade</c:v>
                </c:pt>
              </c:strCache>
            </c:strRef>
          </c:cat>
          <c:val>
            <c:numRef>
              <c:f>'Pivot_Analysis - Week - 5'!$C$29:$C$72</c:f>
              <c:numCache>
                <c:formatCode>[$₹-439]#,##0.00</c:formatCode>
                <c:ptCount val="43"/>
                <c:pt idx="0">
                  <c:v>860</c:v>
                </c:pt>
                <c:pt idx="1">
                  <c:v>355</c:v>
                </c:pt>
                <c:pt idx="2">
                  <c:v>350</c:v>
                </c:pt>
                <c:pt idx="3">
                  <c:v>328</c:v>
                </c:pt>
                <c:pt idx="4">
                  <c:v>280</c:v>
                </c:pt>
                <c:pt idx="5">
                  <c:v>262</c:v>
                </c:pt>
                <c:pt idx="6">
                  <c:v>196</c:v>
                </c:pt>
                <c:pt idx="7">
                  <c:v>174</c:v>
                </c:pt>
                <c:pt idx="8">
                  <c:v>170</c:v>
                </c:pt>
                <c:pt idx="9">
                  <c:v>168</c:v>
                </c:pt>
                <c:pt idx="10">
                  <c:v>160</c:v>
                </c:pt>
                <c:pt idx="11">
                  <c:v>156</c:v>
                </c:pt>
                <c:pt idx="12">
                  <c:v>128</c:v>
                </c:pt>
                <c:pt idx="13">
                  <c:v>120</c:v>
                </c:pt>
                <c:pt idx="14">
                  <c:v>108</c:v>
                </c:pt>
                <c:pt idx="15">
                  <c:v>86</c:v>
                </c:pt>
                <c:pt idx="16">
                  <c:v>83</c:v>
                </c:pt>
                <c:pt idx="17">
                  <c:v>79.900000000000006</c:v>
                </c:pt>
                <c:pt idx="18">
                  <c:v>59</c:v>
                </c:pt>
                <c:pt idx="19">
                  <c:v>57.599999999999994</c:v>
                </c:pt>
                <c:pt idx="20">
                  <c:v>54</c:v>
                </c:pt>
                <c:pt idx="21">
                  <c:v>51</c:v>
                </c:pt>
                <c:pt idx="22">
                  <c:v>51</c:v>
                </c:pt>
                <c:pt idx="23">
                  <c:v>48</c:v>
                </c:pt>
                <c:pt idx="24">
                  <c:v>48</c:v>
                </c:pt>
                <c:pt idx="25">
                  <c:v>45</c:v>
                </c:pt>
                <c:pt idx="26">
                  <c:v>44</c:v>
                </c:pt>
                <c:pt idx="27">
                  <c:v>41.25</c:v>
                </c:pt>
                <c:pt idx="28">
                  <c:v>36</c:v>
                </c:pt>
                <c:pt idx="29">
                  <c:v>36</c:v>
                </c:pt>
                <c:pt idx="30">
                  <c:v>30</c:v>
                </c:pt>
                <c:pt idx="31">
                  <c:v>27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22</c:v>
                </c:pt>
                <c:pt idx="36">
                  <c:v>16</c:v>
                </c:pt>
                <c:pt idx="37">
                  <c:v>12</c:v>
                </c:pt>
                <c:pt idx="38">
                  <c:v>12</c:v>
                </c:pt>
                <c:pt idx="39">
                  <c:v>7.2000000000000064</c:v>
                </c:pt>
                <c:pt idx="40">
                  <c:v>6</c:v>
                </c:pt>
                <c:pt idx="41">
                  <c:v>6</c:v>
                </c:pt>
                <c:pt idx="42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5-40AF-80AA-FD82EF92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61928"/>
        <c:axId val="76571656"/>
      </c:barChart>
      <c:catAx>
        <c:axId val="7656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71656"/>
        <c:crosses val="autoZero"/>
        <c:auto val="1"/>
        <c:lblAlgn val="ctr"/>
        <c:lblOffset val="100"/>
        <c:noMultiLvlLbl val="0"/>
      </c:catAx>
      <c:valAx>
        <c:axId val="7657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6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- 5'!$C$82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- 5'!$B$83:$B$126</c:f>
              <c:strCache>
                <c:ptCount val="43"/>
                <c:pt idx="0">
                  <c:v>3/4" Pipe</c:v>
                </c:pt>
                <c:pt idx="1">
                  <c:v>3/4" Coupler</c:v>
                </c:pt>
                <c:pt idx="2">
                  <c:v>3/4" Elbow</c:v>
                </c:pt>
                <c:pt idx="3">
                  <c:v>1" Coupler</c:v>
                </c:pt>
                <c:pt idx="4">
                  <c:v>3" Baser</c:v>
                </c:pt>
                <c:pt idx="5">
                  <c:v>3/4 " Elbow</c:v>
                </c:pt>
                <c:pt idx="6">
                  <c:v>1" Pipe</c:v>
                </c:pt>
                <c:pt idx="7">
                  <c:v>3/4" 45° Elbow</c:v>
                </c:pt>
                <c:pt idx="8">
                  <c:v>3" Pipe</c:v>
                </c:pt>
                <c:pt idx="9">
                  <c:v>Teplon</c:v>
                </c:pt>
                <c:pt idx="10">
                  <c:v>4" Band</c:v>
                </c:pt>
                <c:pt idx="11">
                  <c:v>Aree Blade</c:v>
                </c:pt>
                <c:pt idx="12">
                  <c:v>1" Elbow</c:v>
                </c:pt>
                <c:pt idx="13">
                  <c:v>3/4" Baipass</c:v>
                </c:pt>
                <c:pt idx="14">
                  <c:v>Clip</c:v>
                </c:pt>
                <c:pt idx="15">
                  <c:v>3" Band</c:v>
                </c:pt>
                <c:pt idx="16">
                  <c:v>1" Baipass</c:v>
                </c:pt>
                <c:pt idx="17">
                  <c:v>3" Coupler</c:v>
                </c:pt>
                <c:pt idx="18">
                  <c:v>Solvent 40ml</c:v>
                </c:pt>
                <c:pt idx="19">
                  <c:v>Solvent 100ml</c:v>
                </c:pt>
                <c:pt idx="20">
                  <c:v>4" Pipe</c:v>
                </c:pt>
                <c:pt idx="21">
                  <c:v>Solvent 50ml</c:v>
                </c:pt>
                <c:pt idx="22">
                  <c:v>3" Elbow</c:v>
                </c:pt>
                <c:pt idx="23">
                  <c:v>3/4" B FTA</c:v>
                </c:pt>
                <c:pt idx="24">
                  <c:v>3/4"×1/2" B Elbow</c:v>
                </c:pt>
                <c:pt idx="25">
                  <c:v>Jointer</c:v>
                </c:pt>
                <c:pt idx="26">
                  <c:v>Solvent</c:v>
                </c:pt>
                <c:pt idx="27">
                  <c:v>4" Coupler</c:v>
                </c:pt>
                <c:pt idx="28">
                  <c:v>3/4" Ferul</c:v>
                </c:pt>
                <c:pt idx="29">
                  <c:v>Solvent 10ml</c:v>
                </c:pt>
                <c:pt idx="30">
                  <c:v>3" Jali</c:v>
                </c:pt>
                <c:pt idx="31">
                  <c:v>Solvent PVC</c:v>
                </c:pt>
                <c:pt idx="32">
                  <c:v>3/4"×1/2" B FTA</c:v>
                </c:pt>
                <c:pt idx="33">
                  <c:v>1/2" Loose Pipe</c:v>
                </c:pt>
                <c:pt idx="34">
                  <c:v>1/2" Ferul</c:v>
                </c:pt>
                <c:pt idx="35">
                  <c:v>4" Nehali Trap</c:v>
                </c:pt>
                <c:pt idx="36">
                  <c:v>4" Tee</c:v>
                </c:pt>
                <c:pt idx="37">
                  <c:v>Motor 1/2HP</c:v>
                </c:pt>
                <c:pt idx="38">
                  <c:v>2 in 1 Diverter</c:v>
                </c:pt>
                <c:pt idx="39">
                  <c:v>Sit (Hindware)</c:v>
                </c:pt>
                <c:pt idx="40">
                  <c:v>Loose Pipe</c:v>
                </c:pt>
                <c:pt idx="41">
                  <c:v>4" Cut Jali</c:v>
                </c:pt>
                <c:pt idx="42">
                  <c:v>Motor</c:v>
                </c:pt>
              </c:strCache>
            </c:strRef>
          </c:cat>
          <c:val>
            <c:numRef>
              <c:f>'Pivot_Analysis - Week - 5'!$C$83:$C$126</c:f>
              <c:numCache>
                <c:formatCode>General</c:formatCode>
                <c:ptCount val="43"/>
                <c:pt idx="0">
                  <c:v>58</c:v>
                </c:pt>
                <c:pt idx="1">
                  <c:v>43</c:v>
                </c:pt>
                <c:pt idx="2">
                  <c:v>26</c:v>
                </c:pt>
                <c:pt idx="3">
                  <c:v>15</c:v>
                </c:pt>
                <c:pt idx="4">
                  <c:v>15</c:v>
                </c:pt>
                <c:pt idx="5">
                  <c:v>12</c:v>
                </c:pt>
                <c:pt idx="6">
                  <c:v>12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0-44EC-AF6B-C9796AED5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01800"/>
        <c:axId val="119203848"/>
      </c:barChart>
      <c:catAx>
        <c:axId val="119201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3848"/>
        <c:crosses val="autoZero"/>
        <c:auto val="1"/>
        <c:lblAlgn val="ctr"/>
        <c:lblOffset val="100"/>
        <c:noMultiLvlLbl val="0"/>
      </c:catAx>
      <c:valAx>
        <c:axId val="11920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</xdr:row>
      <xdr:rowOff>171450</xdr:rowOff>
    </xdr:from>
    <xdr:to>
      <xdr:col>8</xdr:col>
      <xdr:colOff>38100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52</xdr:row>
      <xdr:rowOff>238125</xdr:rowOff>
    </xdr:from>
    <xdr:to>
      <xdr:col>19</xdr:col>
      <xdr:colOff>0</xdr:colOff>
      <xdr:row>64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A98DB-FCE7-6505-ECE2-3AA1B7B92A0A}"/>
            </a:ext>
            <a:ext uri="{147F2762-F138-4A5C-976F-8EAC2B608ADB}">
              <a16:predDERef xmlns:a16="http://schemas.microsoft.com/office/drawing/2014/main" pre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52</xdr:row>
      <xdr:rowOff>219075</xdr:rowOff>
    </xdr:from>
    <xdr:to>
      <xdr:col>30</xdr:col>
      <xdr:colOff>619125</xdr:colOff>
      <xdr:row>64</xdr:row>
      <xdr:rowOff>209550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0C6053-EAC5-3329-6B8C-126800D88A4D}"/>
            </a:ext>
            <a:ext uri="{147F2762-F138-4A5C-976F-8EAC2B608ADB}">
              <a16:predDERef xmlns:a16="http://schemas.microsoft.com/office/drawing/2014/main" pred="{4F3A98DB-FCE7-6505-ECE2-3AA1B7B92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1185863</xdr:colOff>
      <xdr:row>12</xdr:row>
      <xdr:rowOff>119062</xdr:rowOff>
    </xdr:from>
    <xdr:to>
      <xdr:col>4</xdr:col>
      <xdr:colOff>1395413</xdr:colOff>
      <xdr:row>14</xdr:row>
      <xdr:rowOff>128587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90BBCFD0-6DD7-496A-B2B6-ACD72ECCB594}"/>
            </a:ext>
            <a:ext uri="{147F2762-F138-4A5C-976F-8EAC2B608ADB}">
              <a16:predDERef xmlns:a16="http://schemas.microsoft.com/office/drawing/2014/main" pred="{330C6053-EAC5-3329-6B8C-126800D88A4D}"/>
            </a:ext>
          </a:extLst>
        </xdr:cNvPr>
        <xdr:cNvSpPr/>
      </xdr:nvSpPr>
      <xdr:spPr>
        <a:xfrm rot="5400000">
          <a:off x="3543300" y="3362325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1390650</xdr:colOff>
      <xdr:row>50</xdr:row>
      <xdr:rowOff>133350</xdr:rowOff>
    </xdr:from>
    <xdr:to>
      <xdr:col>14</xdr:col>
      <xdr:colOff>95250</xdr:colOff>
      <xdr:row>52</xdr:row>
      <xdr:rowOff>142875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11083177-CC1A-4C90-8A7E-61B48508AA3E}"/>
            </a:ext>
            <a:ext uri="{147F2762-F138-4A5C-976F-8EAC2B608ADB}">
              <a16:predDERef xmlns:a16="http://schemas.microsoft.com/office/drawing/2014/main" pred="{49671F23-0755-44AC-AB6B-34C8D2C48DFB}"/>
            </a:ext>
          </a:extLst>
        </xdr:cNvPr>
        <xdr:cNvSpPr/>
      </xdr:nvSpPr>
      <xdr:spPr>
        <a:xfrm rot="5400000">
          <a:off x="11158537" y="13111163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</xdr:col>
      <xdr:colOff>1419225</xdr:colOff>
      <xdr:row>50</xdr:row>
      <xdr:rowOff>104775</xdr:rowOff>
    </xdr:from>
    <xdr:to>
      <xdr:col>24</xdr:col>
      <xdr:colOff>123825</xdr:colOff>
      <xdr:row>52</xdr:row>
      <xdr:rowOff>114300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6ACF9E81-6ADD-439C-A3F4-5F14E320ED05}"/>
            </a:ext>
            <a:ext uri="{147F2762-F138-4A5C-976F-8EAC2B608ADB}">
              <a16:predDERef xmlns:a16="http://schemas.microsoft.com/office/drawing/2014/main" pred="{11083177-CC1A-4C90-8A7E-61B48508AA3E}"/>
            </a:ext>
          </a:extLst>
        </xdr:cNvPr>
        <xdr:cNvSpPr/>
      </xdr:nvSpPr>
      <xdr:spPr>
        <a:xfrm rot="5400000">
          <a:off x="19226212" y="13082588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276225</xdr:colOff>
      <xdr:row>12</xdr:row>
      <xdr:rowOff>76200</xdr:rowOff>
    </xdr:from>
    <xdr:to>
      <xdr:col>5</xdr:col>
      <xdr:colOff>371475</xdr:colOff>
      <xdr:row>15</xdr:row>
      <xdr:rowOff>28575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EF630A16-DDC3-4F80-AB61-4104270751DE}"/>
            </a:ext>
            <a:ext uri="{147F2762-F138-4A5C-976F-8EAC2B608ADB}">
              <a16:predDERef xmlns:a16="http://schemas.microsoft.com/office/drawing/2014/main" pred="{6ACF9E81-6ADD-439C-A3F4-5F14E320ED05}"/>
            </a:ext>
          </a:extLst>
        </xdr:cNvPr>
        <xdr:cNvSpPr/>
      </xdr:nvSpPr>
      <xdr:spPr>
        <a:xfrm rot="5400000">
          <a:off x="3548062" y="2938463"/>
          <a:ext cx="523875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15</xdr:row>
      <xdr:rowOff>0</xdr:rowOff>
    </xdr:from>
    <xdr:to>
      <xdr:col>7</xdr:col>
      <xdr:colOff>600075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7793D-6EE7-C958-E439-37F34BEA4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57</xdr:row>
      <xdr:rowOff>180975</xdr:rowOff>
    </xdr:from>
    <xdr:to>
      <xdr:col>18</xdr:col>
      <xdr:colOff>590550</xdr:colOff>
      <xdr:row>73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4CA6C0-6091-D872-85DE-8DAF548754B6}"/>
            </a:ext>
            <a:ext uri="{147F2762-F138-4A5C-976F-8EAC2B608ADB}">
              <a16:predDERef xmlns:a16="http://schemas.microsoft.com/office/drawing/2014/main" pred="{8557793D-6EE7-C958-E439-37F34BEA4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57</xdr:row>
      <xdr:rowOff>171450</xdr:rowOff>
    </xdr:from>
    <xdr:to>
      <xdr:col>30</xdr:col>
      <xdr:colOff>590550</xdr:colOff>
      <xdr:row>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230848-F901-87E5-EFBB-585C30FB4ACF}"/>
            </a:ext>
            <a:ext uri="{147F2762-F138-4A5C-976F-8EAC2B608ADB}">
              <a16:predDERef xmlns:a16="http://schemas.microsoft.com/office/drawing/2014/main" pred="{8C4CA6C0-6091-D872-85DE-8DAF5487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738187</xdr:colOff>
      <xdr:row>12</xdr:row>
      <xdr:rowOff>14288</xdr:rowOff>
    </xdr:from>
    <xdr:to>
      <xdr:col>5</xdr:col>
      <xdr:colOff>42862</xdr:colOff>
      <xdr:row>14</xdr:row>
      <xdr:rowOff>71438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F5E49685-8CBC-4617-9ACB-75DD504E7998}"/>
            </a:ext>
            <a:ext uri="{147F2762-F138-4A5C-976F-8EAC2B608ADB}">
              <a16:predDERef xmlns:a16="http://schemas.microsoft.com/office/drawing/2014/main" pred="{34230848-F901-87E5-EFBB-585C30FB4ACF}"/>
            </a:ext>
          </a:extLst>
        </xdr:cNvPr>
        <xdr:cNvSpPr/>
      </xdr:nvSpPr>
      <xdr:spPr>
        <a:xfrm rot="5400000">
          <a:off x="3000375" y="2476500"/>
          <a:ext cx="4381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1009650</xdr:colOff>
      <xdr:row>55</xdr:row>
      <xdr:rowOff>57150</xdr:rowOff>
    </xdr:from>
    <xdr:to>
      <xdr:col>13</xdr:col>
      <xdr:colOff>1104900</xdr:colOff>
      <xdr:row>57</xdr:row>
      <xdr:rowOff>76200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DFE83430-34DF-40CC-887F-691DA286A066}"/>
            </a:ext>
            <a:ext uri="{147F2762-F138-4A5C-976F-8EAC2B608ADB}">
              <a16:predDERef xmlns:a16="http://schemas.microsoft.com/office/drawing/2014/main" pred="{F5E49685-8CBC-4617-9ACB-75DD504E7998}"/>
            </a:ext>
          </a:extLst>
        </xdr:cNvPr>
        <xdr:cNvSpPr/>
      </xdr:nvSpPr>
      <xdr:spPr>
        <a:xfrm rot="5400000">
          <a:off x="9201150" y="10687050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24</xdr:col>
      <xdr:colOff>1104900</xdr:colOff>
      <xdr:row>55</xdr:row>
      <xdr:rowOff>66675</xdr:rowOff>
    </xdr:from>
    <xdr:to>
      <xdr:col>24</xdr:col>
      <xdr:colOff>1200150</xdr:colOff>
      <xdr:row>57</xdr:row>
      <xdr:rowOff>85725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DF9E67C8-E331-4E5B-B5E5-6B37AC83C004}"/>
            </a:ext>
            <a:ext uri="{147F2762-F138-4A5C-976F-8EAC2B608ADB}">
              <a16:predDERef xmlns:a16="http://schemas.microsoft.com/office/drawing/2014/main" pred="{DFE83430-34DF-40CC-887F-691DA286A066}"/>
            </a:ext>
          </a:extLst>
        </xdr:cNvPr>
        <xdr:cNvSpPr/>
      </xdr:nvSpPr>
      <xdr:spPr>
        <a:xfrm rot="5400000">
          <a:off x="16973550" y="10696575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75FE2-DD28-84AB-D06F-DF38A6B3B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6</xdr:row>
      <xdr:rowOff>76200</xdr:rowOff>
    </xdr:from>
    <xdr:to>
      <xdr:col>4</xdr:col>
      <xdr:colOff>114300</xdr:colOff>
      <xdr:row>7</xdr:row>
      <xdr:rowOff>95250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208289AF-06AD-2C9B-7DC3-244BC0567542}"/>
            </a:ext>
            <a:ext uri="{147F2762-F138-4A5C-976F-8EAC2B608ADB}">
              <a16:predDERef xmlns:a16="http://schemas.microsoft.com/office/drawing/2014/main" pred="{73A75FE2-DD28-84AB-D06F-DF38A6B3B4D5}"/>
            </a:ext>
          </a:extLst>
        </xdr:cNvPr>
        <xdr:cNvSpPr/>
      </xdr:nvSpPr>
      <xdr:spPr>
        <a:xfrm>
          <a:off x="2400300" y="12192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0</xdr:colOff>
      <xdr:row>25</xdr:row>
      <xdr:rowOff>152400</xdr:rowOff>
    </xdr:from>
    <xdr:to>
      <xdr:col>16</xdr:col>
      <xdr:colOff>581025</xdr:colOff>
      <xdr:row>44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7C5D47-B127-026B-B525-AFE023E727C2}"/>
            </a:ext>
            <a:ext uri="{147F2762-F138-4A5C-976F-8EAC2B608ADB}">
              <a16:predDERef xmlns:a16="http://schemas.microsoft.com/office/drawing/2014/main" pred="{208289AF-06AD-2C9B-7DC3-244BC0567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34</xdr:row>
      <xdr:rowOff>66675</xdr:rowOff>
    </xdr:from>
    <xdr:to>
      <xdr:col>4</xdr:col>
      <xdr:colOff>295275</xdr:colOff>
      <xdr:row>35</xdr:row>
      <xdr:rowOff>85725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68F59395-D123-470C-B99C-CA7873111AED}"/>
            </a:ext>
            <a:ext uri="{147F2762-F138-4A5C-976F-8EAC2B608ADB}">
              <a16:predDERef xmlns:a16="http://schemas.microsoft.com/office/drawing/2014/main" pred="{E87C5D47-B127-026B-B525-AFE023E727C2}"/>
            </a:ext>
          </a:extLst>
        </xdr:cNvPr>
        <xdr:cNvSpPr/>
      </xdr:nvSpPr>
      <xdr:spPr>
        <a:xfrm>
          <a:off x="3133725" y="65436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419100</xdr:colOff>
      <xdr:row>82</xdr:row>
      <xdr:rowOff>161925</xdr:rowOff>
    </xdr:from>
    <xdr:to>
      <xdr:col>15</xdr:col>
      <xdr:colOff>561975</xdr:colOff>
      <xdr:row>101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B50B9A-A698-47D7-4CEE-2290EFEF88E7}"/>
            </a:ext>
            <a:ext uri="{147F2762-F138-4A5C-976F-8EAC2B608ADB}">
              <a16:predDERef xmlns:a16="http://schemas.microsoft.com/office/drawing/2014/main" pred="{68F59395-D123-470C-B99C-CA787311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91</xdr:row>
      <xdr:rowOff>19050</xdr:rowOff>
    </xdr:from>
    <xdr:to>
      <xdr:col>4</xdr:col>
      <xdr:colOff>238125</xdr:colOff>
      <xdr:row>92</xdr:row>
      <xdr:rowOff>38100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9573A7D8-4E60-46CA-A3C1-2D085A1330A1}"/>
            </a:ext>
            <a:ext uri="{147F2762-F138-4A5C-976F-8EAC2B608ADB}">
              <a16:predDERef xmlns:a16="http://schemas.microsoft.com/office/drawing/2014/main" pred="{13B50B9A-A698-47D7-4CEE-2290EFEF88E7}"/>
            </a:ext>
          </a:extLst>
        </xdr:cNvPr>
        <xdr:cNvSpPr/>
      </xdr:nvSpPr>
      <xdr:spPr>
        <a:xfrm>
          <a:off x="3276600" y="1735455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180975</xdr:rowOff>
    </xdr:from>
    <xdr:to>
      <xdr:col>12</xdr:col>
      <xdr:colOff>419100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6CFB8-017E-3FB0-DD2D-801C1C970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333375</xdr:colOff>
      <xdr:row>6</xdr:row>
      <xdr:rowOff>180975</xdr:rowOff>
    </xdr:from>
    <xdr:to>
      <xdr:col>4</xdr:col>
      <xdr:colOff>247650</xdr:colOff>
      <xdr:row>8</xdr:row>
      <xdr:rowOff>9525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C4C3486D-6E79-46F2-BD6B-6B3981FF58AF}"/>
            </a:ext>
            <a:ext uri="{147F2762-F138-4A5C-976F-8EAC2B608ADB}">
              <a16:predDERef xmlns:a16="http://schemas.microsoft.com/office/drawing/2014/main" pred="{B686CFB8-017E-3FB0-DD2D-801C1C97034A}"/>
            </a:ext>
          </a:extLst>
        </xdr:cNvPr>
        <xdr:cNvSpPr/>
      </xdr:nvSpPr>
      <xdr:spPr>
        <a:xfrm>
          <a:off x="2581275" y="13239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171450</xdr:colOff>
      <xdr:row>23</xdr:row>
      <xdr:rowOff>180975</xdr:rowOff>
    </xdr:from>
    <xdr:to>
      <xdr:col>14</xdr:col>
      <xdr:colOff>590550</xdr:colOff>
      <xdr:row>44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F9953-B7F9-BF7A-6C1E-429A7F6626B6}"/>
            </a:ext>
            <a:ext uri="{147F2762-F138-4A5C-976F-8EAC2B608ADB}">
              <a16:predDERef xmlns:a16="http://schemas.microsoft.com/office/drawing/2014/main" pred="{C4C3486D-6E79-46F2-BD6B-6B3981FF5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123825</xdr:colOff>
      <xdr:row>34</xdr:row>
      <xdr:rowOff>161925</xdr:rowOff>
    </xdr:from>
    <xdr:to>
      <xdr:col>4</xdr:col>
      <xdr:colOff>38100</xdr:colOff>
      <xdr:row>35</xdr:row>
      <xdr:rowOff>180975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3ED4F499-006F-4CF6-A51D-F4C5E7615FB8}"/>
            </a:ext>
            <a:ext uri="{147F2762-F138-4A5C-976F-8EAC2B608ADB}">
              <a16:predDERef xmlns:a16="http://schemas.microsoft.com/office/drawing/2014/main" pred="{C1EF9953-B7F9-BF7A-6C1E-429A7F6626B6}"/>
            </a:ext>
          </a:extLst>
        </xdr:cNvPr>
        <xdr:cNvSpPr/>
      </xdr:nvSpPr>
      <xdr:spPr>
        <a:xfrm>
          <a:off x="2771775" y="663892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419100</xdr:colOff>
      <xdr:row>89</xdr:row>
      <xdr:rowOff>0</xdr:rowOff>
    </xdr:from>
    <xdr:to>
      <xdr:col>14</xdr:col>
      <xdr:colOff>581025</xdr:colOff>
      <xdr:row>107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286EC1-F468-2706-7BE5-06552C1033A9}"/>
            </a:ext>
            <a:ext uri="{147F2762-F138-4A5C-976F-8EAC2B608ADB}">
              <a16:predDERef xmlns:a16="http://schemas.microsoft.com/office/drawing/2014/main" pred="{3ED4F499-006F-4CF6-A51D-F4C5E7615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219075</xdr:colOff>
      <xdr:row>96</xdr:row>
      <xdr:rowOff>0</xdr:rowOff>
    </xdr:from>
    <xdr:to>
      <xdr:col>4</xdr:col>
      <xdr:colOff>133350</xdr:colOff>
      <xdr:row>97</xdr:row>
      <xdr:rowOff>19050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E7C8FDD9-BB4D-43B9-8308-AFC74EA8E488}"/>
            </a:ext>
            <a:ext uri="{147F2762-F138-4A5C-976F-8EAC2B608ADB}">
              <a16:predDERef xmlns:a16="http://schemas.microsoft.com/office/drawing/2014/main" pred="{ED286EC1-F468-2706-7BE5-06552C1033A9}"/>
            </a:ext>
          </a:extLst>
        </xdr:cNvPr>
        <xdr:cNvSpPr/>
      </xdr:nvSpPr>
      <xdr:spPr>
        <a:xfrm>
          <a:off x="3067050" y="182880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180975</xdr:rowOff>
    </xdr:from>
    <xdr:to>
      <xdr:col>14</xdr:col>
      <xdr:colOff>600075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1C816-0F8A-64D2-8F12-F7D53D82C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6</xdr:row>
      <xdr:rowOff>171450</xdr:rowOff>
    </xdr:from>
    <xdr:to>
      <xdr:col>4</xdr:col>
      <xdr:colOff>342900</xdr:colOff>
      <xdr:row>8</xdr:row>
      <xdr:rowOff>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6C72F110-5424-4E4D-990B-144B96732211}"/>
            </a:ext>
            <a:ext uri="{147F2762-F138-4A5C-976F-8EAC2B608ADB}">
              <a16:predDERef xmlns:a16="http://schemas.microsoft.com/office/drawing/2014/main" pred="{3351C816-0F8A-64D2-8F12-F7D53D82CA46}"/>
            </a:ext>
          </a:extLst>
        </xdr:cNvPr>
        <xdr:cNvSpPr/>
      </xdr:nvSpPr>
      <xdr:spPr>
        <a:xfrm>
          <a:off x="2628900" y="131445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0</xdr:colOff>
      <xdr:row>30</xdr:row>
      <xdr:rowOff>180975</xdr:rowOff>
    </xdr:from>
    <xdr:to>
      <xdr:col>17</xdr:col>
      <xdr:colOff>381000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91237-75A6-A530-CB8A-E50143EA0A8D}"/>
            </a:ext>
            <a:ext uri="{147F2762-F138-4A5C-976F-8EAC2B608ADB}">
              <a16:predDERef xmlns:a16="http://schemas.microsoft.com/office/drawing/2014/main" pred="{6C72F110-5424-4E4D-990B-144B96732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381000</xdr:colOff>
      <xdr:row>39</xdr:row>
      <xdr:rowOff>180975</xdr:rowOff>
    </xdr:from>
    <xdr:to>
      <xdr:col>4</xdr:col>
      <xdr:colOff>342900</xdr:colOff>
      <xdr:row>41</xdr:row>
      <xdr:rowOff>9525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62E64B43-022E-4CEC-AE81-2ACE692AD576}"/>
            </a:ext>
            <a:ext uri="{147F2762-F138-4A5C-976F-8EAC2B608ADB}">
              <a16:predDERef xmlns:a16="http://schemas.microsoft.com/office/drawing/2014/main" pred="{89991237-75A6-A530-CB8A-E50143EA0A8D}"/>
            </a:ext>
          </a:extLst>
        </xdr:cNvPr>
        <xdr:cNvSpPr/>
      </xdr:nvSpPr>
      <xdr:spPr>
        <a:xfrm>
          <a:off x="3028950" y="76104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600075</xdr:colOff>
      <xdr:row>83</xdr:row>
      <xdr:rowOff>171450</xdr:rowOff>
    </xdr:from>
    <xdr:to>
      <xdr:col>17</xdr:col>
      <xdr:colOff>428625</xdr:colOff>
      <xdr:row>106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030C7F-0660-746F-35A2-23CF47137C92}"/>
            </a:ext>
            <a:ext uri="{147F2762-F138-4A5C-976F-8EAC2B608ADB}">
              <a16:predDERef xmlns:a16="http://schemas.microsoft.com/office/drawing/2014/main" pred="{62E64B43-022E-4CEC-AE81-2ACE692AD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361950</xdr:colOff>
      <xdr:row>94</xdr:row>
      <xdr:rowOff>0</xdr:rowOff>
    </xdr:from>
    <xdr:to>
      <xdr:col>4</xdr:col>
      <xdr:colOff>323850</xdr:colOff>
      <xdr:row>95</xdr:row>
      <xdr:rowOff>19050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70B03DC5-D8EB-4AFC-9014-9816A9AA6D32}"/>
            </a:ext>
            <a:ext uri="{147F2762-F138-4A5C-976F-8EAC2B608ADB}">
              <a16:predDERef xmlns:a16="http://schemas.microsoft.com/office/drawing/2014/main" pred="{7D030C7F-0660-746F-35A2-23CF47137C92}"/>
            </a:ext>
          </a:extLst>
        </xdr:cNvPr>
        <xdr:cNvSpPr/>
      </xdr:nvSpPr>
      <xdr:spPr>
        <a:xfrm>
          <a:off x="2876550" y="179070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9525</xdr:rowOff>
    </xdr:from>
    <xdr:to>
      <xdr:col>14</xdr:col>
      <xdr:colOff>581025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35</xdr:row>
      <xdr:rowOff>0</xdr:rowOff>
    </xdr:from>
    <xdr:to>
      <xdr:col>14</xdr:col>
      <xdr:colOff>581025</xdr:colOff>
      <xdr:row>54</xdr:row>
      <xdr:rowOff>161925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7626BA86-A8AE-4672-9CFD-FEF02A8E11B8}"/>
            </a:ext>
            <a:ext uri="{147F2762-F138-4A5C-976F-8EAC2B608ADB}">
              <a16:predDERef xmlns:a16="http://schemas.microsoft.com/office/drawing/2014/main" pre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57</xdr:row>
      <xdr:rowOff>0</xdr:rowOff>
    </xdr:from>
    <xdr:to>
      <xdr:col>14</xdr:col>
      <xdr:colOff>590550</xdr:colOff>
      <xdr:row>76</xdr:row>
      <xdr:rowOff>171450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ED7EA4D7-F50B-491F-90B9-24B9529B3E0E}"/>
            </a:ext>
            <a:ext uri="{147F2762-F138-4A5C-976F-8EAC2B608ADB}">
              <a16:predDERef xmlns:a16="http://schemas.microsoft.com/office/drawing/2014/main" pred="{7626BA86-A8AE-4672-9CFD-FEF02A8E1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9525</xdr:colOff>
      <xdr:row>13</xdr:row>
      <xdr:rowOff>0</xdr:rowOff>
    </xdr:from>
    <xdr:to>
      <xdr:col>31</xdr:col>
      <xdr:colOff>600075</xdr:colOff>
      <xdr:row>32</xdr:row>
      <xdr:rowOff>171450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D8570743-E868-4D90-A674-78AA8D0487F7}"/>
            </a:ext>
            <a:ext uri="{147F2762-F138-4A5C-976F-8EAC2B608ADB}">
              <a16:predDERef xmlns:a16="http://schemas.microsoft.com/office/drawing/2014/main" pred="{ED7EA4D7-F50B-491F-90B9-24B9529B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35</xdr:row>
      <xdr:rowOff>9525</xdr:rowOff>
    </xdr:from>
    <xdr:to>
      <xdr:col>31</xdr:col>
      <xdr:colOff>590550</xdr:colOff>
      <xdr:row>54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9DD9FE-6C06-430F-8B1A-56A7BC57094B}"/>
            </a:ext>
            <a:ext uri="{147F2762-F138-4A5C-976F-8EAC2B608ADB}">
              <a16:predDERef xmlns:a16="http://schemas.microsoft.com/office/drawing/2014/main" pred="{D8570743-E868-4D90-A674-78AA8D048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57</xdr:row>
      <xdr:rowOff>0</xdr:rowOff>
    </xdr:from>
    <xdr:to>
      <xdr:col>31</xdr:col>
      <xdr:colOff>600075</xdr:colOff>
      <xdr:row>76</xdr:row>
      <xdr:rowOff>161925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FB9AA9FF-DFDB-4A87-BEF3-E073B5D89946}"/>
            </a:ext>
            <a:ext uri="{147F2762-F138-4A5C-976F-8EAC2B608ADB}">
              <a16:predDERef xmlns:a16="http://schemas.microsoft.com/office/drawing/2014/main" pred="{429DD9FE-6C06-430F-8B1A-56A7BC570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0</xdr:colOff>
      <xdr:row>13</xdr:row>
      <xdr:rowOff>0</xdr:rowOff>
    </xdr:from>
    <xdr:to>
      <xdr:col>48</xdr:col>
      <xdr:colOff>600075</xdr:colOff>
      <xdr:row>32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E13590-0815-400D-9F69-5E4E780835CD}"/>
            </a:ext>
            <a:ext uri="{147F2762-F138-4A5C-976F-8EAC2B608ADB}">
              <a16:predDERef xmlns:a16="http://schemas.microsoft.com/office/drawing/2014/main" pred="{FB9AA9FF-DFDB-4A87-BEF3-E073B5D8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35</xdr:row>
      <xdr:rowOff>0</xdr:rowOff>
    </xdr:from>
    <xdr:to>
      <xdr:col>48</xdr:col>
      <xdr:colOff>600075</xdr:colOff>
      <xdr:row>54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E60CBD-5EFB-4108-BADA-5438982A0E8D}"/>
            </a:ext>
            <a:ext uri="{147F2762-F138-4A5C-976F-8EAC2B608ADB}">
              <a16:predDERef xmlns:a16="http://schemas.microsoft.com/office/drawing/2014/main" pred="{48E13590-0815-400D-9F69-5E4E78083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0</xdr:colOff>
      <xdr:row>57</xdr:row>
      <xdr:rowOff>0</xdr:rowOff>
    </xdr:from>
    <xdr:to>
      <xdr:col>48</xdr:col>
      <xdr:colOff>600075</xdr:colOff>
      <xdr:row>76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9ED528-D909-4562-A7F7-2636DA4B19FB}"/>
            </a:ext>
            <a:ext uri="{147F2762-F138-4A5C-976F-8EAC2B608ADB}">
              <a16:predDERef xmlns:a16="http://schemas.microsoft.com/office/drawing/2014/main" pred="{70E60CBD-5EFB-4108-BADA-5438982A0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0</xdr:colOff>
      <xdr:row>13</xdr:row>
      <xdr:rowOff>0</xdr:rowOff>
    </xdr:from>
    <xdr:to>
      <xdr:col>65</xdr:col>
      <xdr:colOff>600075</xdr:colOff>
      <xdr:row>32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1FA204-1B76-4D23-88A9-FCA24729284E}"/>
            </a:ext>
            <a:ext uri="{147F2762-F138-4A5C-976F-8EAC2B608ADB}">
              <a16:predDERef xmlns:a16="http://schemas.microsoft.com/office/drawing/2014/main" pred="{389ED528-D909-4562-A7F7-2636DA4B1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53</xdr:col>
      <xdr:colOff>0</xdr:colOff>
      <xdr:row>35</xdr:row>
      <xdr:rowOff>0</xdr:rowOff>
    </xdr:from>
    <xdr:to>
      <xdr:col>65</xdr:col>
      <xdr:colOff>590550</xdr:colOff>
      <xdr:row>54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0A2C8D-646E-4635-BE93-2957F71AC30E}"/>
            </a:ext>
            <a:ext uri="{147F2762-F138-4A5C-976F-8EAC2B608ADB}">
              <a16:predDERef xmlns:a16="http://schemas.microsoft.com/office/drawing/2014/main" pred="{421FA204-1B76-4D23-88A9-FCA247292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0</xdr:colOff>
      <xdr:row>57</xdr:row>
      <xdr:rowOff>0</xdr:rowOff>
    </xdr:from>
    <xdr:to>
      <xdr:col>65</xdr:col>
      <xdr:colOff>600075</xdr:colOff>
      <xdr:row>76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74EF5DE-6B45-4EEB-BF01-3CE66FA50D79}"/>
            </a:ext>
            <a:ext uri="{147F2762-F138-4A5C-976F-8EAC2B608ADB}">
              <a16:predDERef xmlns:a16="http://schemas.microsoft.com/office/drawing/2014/main" pred="{C80A2C8D-646E-4635-BE93-2957F71AC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19050</xdr:colOff>
      <xdr:row>84</xdr:row>
      <xdr:rowOff>28575</xdr:rowOff>
    </xdr:from>
    <xdr:to>
      <xdr:col>14</xdr:col>
      <xdr:colOff>600075</xdr:colOff>
      <xdr:row>103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DD6BE46-7148-49F2-860A-5B6F50D4D111}"/>
            </a:ext>
            <a:ext uri="{147F2762-F138-4A5C-976F-8EAC2B608ADB}">
              <a16:predDERef xmlns:a16="http://schemas.microsoft.com/office/drawing/2014/main" pred="{C74EF5DE-6B45-4EEB-BF01-3CE66FA50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28575</xdr:colOff>
      <xdr:row>106</xdr:row>
      <xdr:rowOff>19050</xdr:rowOff>
    </xdr:from>
    <xdr:to>
      <xdr:col>14</xdr:col>
      <xdr:colOff>590550</xdr:colOff>
      <xdr:row>125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1D13195-08F6-446F-8883-FEEC2A1AC65B}"/>
            </a:ext>
            <a:ext uri="{147F2762-F138-4A5C-976F-8EAC2B608ADB}">
              <a16:predDERef xmlns:a16="http://schemas.microsoft.com/office/drawing/2014/main" pred="{CDD6BE46-7148-49F2-860A-5B6F50D4D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128</xdr:row>
      <xdr:rowOff>28575</xdr:rowOff>
    </xdr:from>
    <xdr:to>
      <xdr:col>14</xdr:col>
      <xdr:colOff>581025</xdr:colOff>
      <xdr:row>147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893D0E6-F79B-4150-806D-D21AC0CBF957}"/>
            </a:ext>
            <a:ext uri="{147F2762-F138-4A5C-976F-8EAC2B608ADB}">
              <a16:predDERef xmlns:a16="http://schemas.microsoft.com/office/drawing/2014/main" pred="{21D13195-08F6-446F-8883-FEEC2A1AC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2.324760416668" createdVersion="8" refreshedVersion="8" minRefreshableVersion="3" recordCount="312" xr:uid="{88CBC15E-C58E-4885-A3CA-30099C964F3F}">
  <cacheSource type="worksheet">
    <worksheetSource name="Table7"/>
  </cacheSource>
  <cacheFields count="8">
    <cacheField name="Date" numFmtId="14">
      <sharedItems containsSemiMixedTypes="0" containsNonDate="0" containsDate="1" containsString="0" minDate="2026-08-03T00:00:00" maxDate="2026-09-08T00:00:00" count="36"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</sharedItems>
    </cacheField>
    <cacheField name="Product" numFmtId="0">
      <sharedItems containsBlank="1" count="136">
        <s v="1&quot; Pipe"/>
        <s v="Loose Pipe"/>
        <s v="1&quot; Ball Valve"/>
        <s v="Handpump"/>
        <s v="Solvent 10ml"/>
        <s v="Aree Blade"/>
        <s v="Shower"/>
        <s v="Tap"/>
        <s v="3&quot; Bocket"/>
        <s v="4&quot; Pipe"/>
        <s v="4&quot; Coupler"/>
        <s v="4&quot; Band"/>
        <s v="4&quot; Tee"/>
        <s v="Solvent PVC"/>
        <s v="M-Seal"/>
        <s v="Tank Cover"/>
        <s v="3&quot; Pipe"/>
        <s v="3&quot; Coupler"/>
        <s v="3&quot; Band"/>
        <s v="3&quot; Tee"/>
        <s v="3&quot; Hook"/>
        <s v="3&quot; End Cap"/>
        <s v="Angle Cock"/>
        <s v="Connection Pipe"/>
        <s v="Stand Besin"/>
        <s v="Waste Pipe"/>
        <s v="1/2&quot;x12&quot; Nepul"/>
        <s v="White Cement"/>
        <s v="1&quot; Elbow"/>
        <s v="1&quot; Coupler"/>
        <s v="Solvent"/>
        <s v="PVC Hook"/>
        <s v="Flusher"/>
        <s v="Fan Hook"/>
        <s v="4&quot; Blade"/>
        <s v="Long Tap"/>
        <s v="1/2&quot; Pipe"/>
        <s v="5&quot; Syphan"/>
        <s v="1&quot;x4&quot; Nepul"/>
        <s v="1½&quot;x3/4&quot; Rodiser"/>
        <s v="1½&quot;x6&quot; Nepul"/>
        <s v="3/4&quot; Checkvalve"/>
        <s v="3/4&quot;x3&quot; Nepul"/>
        <s v="Suta"/>
        <s v="Plumber Masala"/>
        <s v="1/2&quot; Check Valve"/>
        <s v="1/2&quot; B MTA"/>
        <s v="Solvent 20ml"/>
        <s v="Pump Handle"/>
        <s v="Nut Bolt"/>
        <s v="PVC Solvent"/>
        <s v="3/4&quot; Pipe"/>
        <s v="3/4&quot; Elbow"/>
        <s v="3/4&quot; Union"/>
        <s v="Solvent 100ml"/>
        <s v="3/4&quot; PVC Hook"/>
        <s v="Steel Tap"/>
        <s v="Hand Shower"/>
        <s v="3/4&quot; Cancilled"/>
        <s v="Teplon"/>
        <s v="1/2&quot; Plug"/>
        <s v="1/2&quot; Connection Pipe"/>
        <s v="Steel Angle Cock"/>
        <s v="3/4&quot;x1/2&quot; B Elbow"/>
        <s v="1&quot;x3/4&quot; Buss"/>
        <s v="1&quot; MTA"/>
        <s v="1&quot; Union"/>
        <s v="3/4&quot; Ball Valve"/>
        <s v="3&quot; Y Tee"/>
        <s v="3&quot; Half Band"/>
        <s v="3&quot; Jali"/>
        <s v="5&quot; Blade"/>
        <s v="Seat"/>
        <s v="5&quot;x4&quot; Syphan"/>
        <s v="Sypahn Baser"/>
        <s v="Solvent 50ml"/>
        <s v="3&quot; Gold Plenjer"/>
        <s v="1&quot; Tee"/>
        <s v="1&quot; Loose Pipe"/>
        <s v="Jointer"/>
        <s v="1&quot; Clip"/>
        <s v="3/4&quot; Coupler"/>
        <s v="1/2&quot; Ferul"/>
        <s v="3/4&quot;x1/2&quot; B FTA"/>
        <s v="Motor"/>
        <s v="Pillar Cock"/>
        <s v="Waste Coupling"/>
        <s v="Faster Nut"/>
        <s v="6&quot; Pipe"/>
        <s v="6&quot; Band"/>
        <s v="6&quot; Hook"/>
        <s v="6&quot;x5&quot; Syphan"/>
        <s v="4&quot; Y Tee"/>
        <s v="4&quot; Half Band"/>
        <s v="4&quot; Hook"/>
        <s v="1/2&quot; Cancilled"/>
        <s v="Brass Shower"/>
        <s v="Sink Cock"/>
        <s v="4&quot;x3&quot; Coupler"/>
        <s v="3/4&quot; Check Valve"/>
        <s v="1&quot;×3/4&quot; Buss"/>
        <s v="3/4 &quot; Elbow"/>
        <s v="Solvent 40ml"/>
        <s v="3/4&quot;×1/2&quot; B Elbow"/>
        <s v="Clip"/>
        <s v="Motor 1HP"/>
        <s v="GI Hook"/>
        <s v="Loha Brush"/>
        <s v="3/4&quot; Ferul"/>
        <s v="3/4&quot; B FTA"/>
        <s v="1&quot;×3/4&quot; Tee"/>
        <s v="1&quot;×3/4&quot; Elbow"/>
        <s v="1&quot;×3/4&quot; Coupler"/>
        <s v="1&quot;×1/2&quot; B Elbow"/>
        <s v="1&quot;×1/2&quot; B Tee"/>
        <s v="Wash Besin"/>
        <s v="Waste Couplin"/>
        <s v="1&quot;×12&quot; Nepul"/>
        <s v="Wash Besin Tap"/>
        <s v="4&quot; Nehali Trap"/>
        <s v="Sit (Hindware)"/>
        <s v="2 in 1 Diverter"/>
        <s v="1&quot; Baipass"/>
        <s v="3/4&quot; Baipass"/>
        <s v="3/4&quot; 45° Elbow"/>
        <s v="3&quot; Elbow"/>
        <s v="4&quot; Cut Jali"/>
        <s v="1/2&quot; Loose Pipe"/>
        <s v="3/4&quot;×1/2&quot; B FTA"/>
        <s v="Motor 1/2HP"/>
        <s v="3&quot; Baser"/>
        <s v="4&quot; Elbow"/>
        <s v="Toilet Seat"/>
        <s v="5&quot;×4&quot; Jointer"/>
        <s v="Cream"/>
        <m u="1"/>
      </sharedItems>
    </cacheField>
    <cacheField name="Quantity" numFmtId="0">
      <sharedItems containsSemiMixedTypes="0" containsString="0" containsNumber="1" containsInteger="1" minValue="1" maxValue="50"/>
    </cacheField>
    <cacheField name="Sell_Price" numFmtId="164">
      <sharedItems containsSemiMixedTypes="0" containsString="0" containsNumber="1" minValue="3.5" maxValue="8300"/>
    </cacheField>
    <cacheField name="Cost_Price" numFmtId="164">
      <sharedItems containsSemiMixedTypes="0" containsString="0" containsNumber="1" minValue="1.6" maxValue="8020"/>
    </cacheField>
    <cacheField name="Profit" numFmtId="164">
      <sharedItems containsSemiMixedTypes="0" containsString="0" containsNumber="1" minValue="-9" maxValue="462"/>
    </cacheField>
    <cacheField name="Day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Week" numFmtId="164">
      <sharedItems count="7">
        <s v="Week 1"/>
        <s v="Week 2"/>
        <s v="Week 3"/>
        <s v="Week 4"/>
        <s v="Week 5"/>
        <s v="Week 6"/>
        <s v="Week -66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x v="0"/>
    <x v="0"/>
    <n v="6"/>
    <n v="270"/>
    <n v="253"/>
    <n v="102"/>
    <x v="0"/>
    <x v="0"/>
  </r>
  <r>
    <x v="0"/>
    <x v="1"/>
    <n v="1"/>
    <n v="1100"/>
    <n v="980"/>
    <n v="120"/>
    <x v="0"/>
    <x v="0"/>
  </r>
  <r>
    <x v="0"/>
    <x v="2"/>
    <n v="2"/>
    <n v="260"/>
    <n v="234"/>
    <n v="52"/>
    <x v="0"/>
    <x v="0"/>
  </r>
  <r>
    <x v="0"/>
    <x v="3"/>
    <n v="1"/>
    <n v="1300"/>
    <n v="1180"/>
    <n v="120"/>
    <x v="0"/>
    <x v="0"/>
  </r>
  <r>
    <x v="0"/>
    <x v="4"/>
    <n v="4"/>
    <n v="40"/>
    <n v="33"/>
    <n v="28"/>
    <x v="0"/>
    <x v="0"/>
  </r>
  <r>
    <x v="0"/>
    <x v="5"/>
    <n v="8"/>
    <n v="10"/>
    <n v="9.1"/>
    <n v="7.2000000000000028"/>
    <x v="0"/>
    <x v="0"/>
  </r>
  <r>
    <x v="0"/>
    <x v="6"/>
    <n v="1"/>
    <n v="350"/>
    <n v="280"/>
    <n v="70"/>
    <x v="0"/>
    <x v="0"/>
  </r>
  <r>
    <x v="0"/>
    <x v="7"/>
    <n v="6"/>
    <n v="60"/>
    <n v="51"/>
    <n v="54"/>
    <x v="0"/>
    <x v="0"/>
  </r>
  <r>
    <x v="0"/>
    <x v="8"/>
    <n v="3"/>
    <n v="60"/>
    <n v="57"/>
    <n v="9"/>
    <x v="0"/>
    <x v="0"/>
  </r>
  <r>
    <x v="1"/>
    <x v="9"/>
    <n v="6"/>
    <n v="550"/>
    <n v="523"/>
    <n v="162"/>
    <x v="1"/>
    <x v="0"/>
  </r>
  <r>
    <x v="1"/>
    <x v="10"/>
    <n v="6"/>
    <n v="90"/>
    <n v="78"/>
    <n v="72"/>
    <x v="1"/>
    <x v="0"/>
  </r>
  <r>
    <x v="1"/>
    <x v="11"/>
    <n v="4"/>
    <n v="110"/>
    <n v="89"/>
    <n v="84"/>
    <x v="1"/>
    <x v="0"/>
  </r>
  <r>
    <x v="1"/>
    <x v="12"/>
    <n v="2"/>
    <n v="140"/>
    <n v="125"/>
    <n v="30"/>
    <x v="1"/>
    <x v="0"/>
  </r>
  <r>
    <x v="1"/>
    <x v="13"/>
    <n v="2"/>
    <n v="35"/>
    <n v="28"/>
    <n v="14"/>
    <x v="1"/>
    <x v="0"/>
  </r>
  <r>
    <x v="1"/>
    <x v="7"/>
    <n v="3"/>
    <n v="60"/>
    <n v="51"/>
    <n v="27"/>
    <x v="1"/>
    <x v="0"/>
  </r>
  <r>
    <x v="1"/>
    <x v="14"/>
    <n v="7"/>
    <n v="10"/>
    <n v="8"/>
    <n v="14"/>
    <x v="1"/>
    <x v="0"/>
  </r>
  <r>
    <x v="1"/>
    <x v="15"/>
    <n v="2"/>
    <n v="700"/>
    <n v="560"/>
    <n v="280"/>
    <x v="1"/>
    <x v="0"/>
  </r>
  <r>
    <x v="2"/>
    <x v="16"/>
    <n v="2"/>
    <n v="330"/>
    <n v="297"/>
    <n v="66"/>
    <x v="2"/>
    <x v="0"/>
  </r>
  <r>
    <x v="2"/>
    <x v="17"/>
    <n v="5"/>
    <n v="50"/>
    <n v="39"/>
    <n v="55"/>
    <x v="2"/>
    <x v="0"/>
  </r>
  <r>
    <x v="2"/>
    <x v="18"/>
    <n v="6"/>
    <n v="60"/>
    <n v="52"/>
    <n v="48"/>
    <x v="2"/>
    <x v="0"/>
  </r>
  <r>
    <x v="2"/>
    <x v="19"/>
    <n v="2"/>
    <n v="110"/>
    <n v="92"/>
    <n v="36"/>
    <x v="2"/>
    <x v="0"/>
  </r>
  <r>
    <x v="2"/>
    <x v="13"/>
    <n v="2"/>
    <n v="35"/>
    <n v="28"/>
    <n v="14"/>
    <x v="2"/>
    <x v="0"/>
  </r>
  <r>
    <x v="2"/>
    <x v="20"/>
    <n v="6"/>
    <n v="20"/>
    <n v="16.5"/>
    <n v="21"/>
    <x v="2"/>
    <x v="0"/>
  </r>
  <r>
    <x v="2"/>
    <x v="21"/>
    <n v="2"/>
    <n v="50"/>
    <n v="34"/>
    <n v="32"/>
    <x v="2"/>
    <x v="0"/>
  </r>
  <r>
    <x v="3"/>
    <x v="22"/>
    <n v="2"/>
    <n v="70"/>
    <n v="46"/>
    <n v="48"/>
    <x v="3"/>
    <x v="0"/>
  </r>
  <r>
    <x v="3"/>
    <x v="23"/>
    <n v="2"/>
    <n v="110"/>
    <n v="63"/>
    <n v="94"/>
    <x v="3"/>
    <x v="0"/>
  </r>
  <r>
    <x v="3"/>
    <x v="24"/>
    <n v="2"/>
    <n v="1900"/>
    <n v="1772"/>
    <n v="256"/>
    <x v="3"/>
    <x v="0"/>
  </r>
  <r>
    <x v="3"/>
    <x v="25"/>
    <n v="2"/>
    <n v="90"/>
    <n v="71"/>
    <n v="38"/>
    <x v="3"/>
    <x v="0"/>
  </r>
  <r>
    <x v="3"/>
    <x v="26"/>
    <n v="4"/>
    <n v="120"/>
    <n v="96"/>
    <n v="96"/>
    <x v="3"/>
    <x v="0"/>
  </r>
  <r>
    <x v="3"/>
    <x v="27"/>
    <n v="2"/>
    <n v="40"/>
    <n v="27"/>
    <n v="26"/>
    <x v="3"/>
    <x v="0"/>
  </r>
  <r>
    <x v="4"/>
    <x v="0"/>
    <n v="8"/>
    <n v="270"/>
    <n v="253"/>
    <n v="136"/>
    <x v="4"/>
    <x v="0"/>
  </r>
  <r>
    <x v="4"/>
    <x v="28"/>
    <n v="15"/>
    <n v="30"/>
    <n v="23.5"/>
    <n v="97.5"/>
    <x v="4"/>
    <x v="0"/>
  </r>
  <r>
    <x v="4"/>
    <x v="29"/>
    <n v="8"/>
    <n v="25"/>
    <n v="22"/>
    <n v="24"/>
    <x v="4"/>
    <x v="0"/>
  </r>
  <r>
    <x v="4"/>
    <x v="30"/>
    <n v="2"/>
    <n v="160"/>
    <n v="122"/>
    <n v="76"/>
    <x v="4"/>
    <x v="0"/>
  </r>
  <r>
    <x v="4"/>
    <x v="31"/>
    <n v="20"/>
    <n v="4"/>
    <n v="1.6"/>
    <n v="48"/>
    <x v="4"/>
    <x v="0"/>
  </r>
  <r>
    <x v="4"/>
    <x v="32"/>
    <n v="1"/>
    <n v="1200"/>
    <n v="980"/>
    <n v="220"/>
    <x v="4"/>
    <x v="0"/>
  </r>
  <r>
    <x v="5"/>
    <x v="33"/>
    <n v="3"/>
    <n v="50"/>
    <n v="39.5"/>
    <n v="31.5"/>
    <x v="5"/>
    <x v="0"/>
  </r>
  <r>
    <x v="5"/>
    <x v="34"/>
    <n v="6"/>
    <n v="10"/>
    <n v="9.1"/>
    <n v="5.4000000000000021"/>
    <x v="5"/>
    <x v="0"/>
  </r>
  <r>
    <x v="5"/>
    <x v="35"/>
    <n v="2"/>
    <n v="110"/>
    <n v="73"/>
    <n v="74"/>
    <x v="5"/>
    <x v="0"/>
  </r>
  <r>
    <x v="5"/>
    <x v="36"/>
    <n v="3"/>
    <n v="130"/>
    <n v="112"/>
    <n v="54"/>
    <x v="5"/>
    <x v="0"/>
  </r>
  <r>
    <x v="5"/>
    <x v="7"/>
    <n v="5"/>
    <n v="60"/>
    <n v="51"/>
    <n v="45"/>
    <x v="5"/>
    <x v="0"/>
  </r>
  <r>
    <x v="5"/>
    <x v="34"/>
    <n v="15"/>
    <n v="10"/>
    <n v="9.1"/>
    <n v="13.500000000000005"/>
    <x v="5"/>
    <x v="0"/>
  </r>
  <r>
    <x v="5"/>
    <x v="15"/>
    <n v="2"/>
    <n v="420"/>
    <n v="370"/>
    <n v="100"/>
    <x v="5"/>
    <x v="0"/>
  </r>
  <r>
    <x v="5"/>
    <x v="4"/>
    <n v="6"/>
    <n v="20"/>
    <n v="14"/>
    <n v="36"/>
    <x v="5"/>
    <x v="0"/>
  </r>
  <r>
    <x v="5"/>
    <x v="37"/>
    <n v="1"/>
    <n v="380"/>
    <n v="340"/>
    <n v="40"/>
    <x v="5"/>
    <x v="0"/>
  </r>
  <r>
    <x v="6"/>
    <x v="3"/>
    <n v="2"/>
    <n v="1300"/>
    <n v="1125"/>
    <n v="350"/>
    <x v="6"/>
    <x v="0"/>
  </r>
  <r>
    <x v="6"/>
    <x v="8"/>
    <n v="1"/>
    <n v="60"/>
    <n v="57"/>
    <n v="3"/>
    <x v="6"/>
    <x v="0"/>
  </r>
  <r>
    <x v="6"/>
    <x v="38"/>
    <n v="1"/>
    <n v="60"/>
    <n v="40"/>
    <n v="20"/>
    <x v="6"/>
    <x v="0"/>
  </r>
  <r>
    <x v="6"/>
    <x v="39"/>
    <n v="1"/>
    <n v="120"/>
    <n v="77"/>
    <n v="43"/>
    <x v="6"/>
    <x v="0"/>
  </r>
  <r>
    <x v="6"/>
    <x v="40"/>
    <n v="1"/>
    <n v="150"/>
    <n v="114"/>
    <n v="36"/>
    <x v="6"/>
    <x v="0"/>
  </r>
  <r>
    <x v="6"/>
    <x v="41"/>
    <n v="1"/>
    <n v="550"/>
    <n v="480"/>
    <n v="70"/>
    <x v="6"/>
    <x v="0"/>
  </r>
  <r>
    <x v="6"/>
    <x v="42"/>
    <n v="2"/>
    <n v="36"/>
    <n v="27"/>
    <n v="18"/>
    <x v="6"/>
    <x v="0"/>
  </r>
  <r>
    <x v="6"/>
    <x v="43"/>
    <n v="4"/>
    <n v="5"/>
    <n v="2.2999999999999998"/>
    <n v="10.8"/>
    <x v="6"/>
    <x v="0"/>
  </r>
  <r>
    <x v="6"/>
    <x v="44"/>
    <n v="3"/>
    <n v="20"/>
    <n v="15.5"/>
    <n v="13.5"/>
    <x v="6"/>
    <x v="0"/>
  </r>
  <r>
    <x v="7"/>
    <x v="45"/>
    <n v="1"/>
    <n v="350"/>
    <n v="280"/>
    <n v="70"/>
    <x v="0"/>
    <x v="1"/>
  </r>
  <r>
    <x v="7"/>
    <x v="46"/>
    <n v="2"/>
    <n v="75"/>
    <n v="63.5"/>
    <n v="23"/>
    <x v="0"/>
    <x v="1"/>
  </r>
  <r>
    <x v="7"/>
    <x v="47"/>
    <n v="1"/>
    <n v="40"/>
    <n v="31"/>
    <n v="9"/>
    <x v="0"/>
    <x v="1"/>
  </r>
  <r>
    <x v="7"/>
    <x v="48"/>
    <n v="1"/>
    <n v="260"/>
    <n v="224"/>
    <n v="36"/>
    <x v="0"/>
    <x v="1"/>
  </r>
  <r>
    <x v="7"/>
    <x v="49"/>
    <n v="6"/>
    <n v="5"/>
    <n v="2.2999999999999998"/>
    <n v="16.200000000000003"/>
    <x v="0"/>
    <x v="1"/>
  </r>
  <r>
    <x v="7"/>
    <x v="11"/>
    <n v="3"/>
    <n v="100"/>
    <n v="89"/>
    <n v="33"/>
    <x v="0"/>
    <x v="1"/>
  </r>
  <r>
    <x v="7"/>
    <x v="9"/>
    <n v="2"/>
    <n v="540"/>
    <n v="493"/>
    <n v="94"/>
    <x v="0"/>
    <x v="1"/>
  </r>
  <r>
    <x v="7"/>
    <x v="12"/>
    <n v="1"/>
    <n v="180"/>
    <n v="154"/>
    <n v="26"/>
    <x v="0"/>
    <x v="1"/>
  </r>
  <r>
    <x v="7"/>
    <x v="50"/>
    <n v="1"/>
    <n v="60"/>
    <n v="41"/>
    <n v="19"/>
    <x v="0"/>
    <x v="1"/>
  </r>
  <r>
    <x v="8"/>
    <x v="0"/>
    <n v="2"/>
    <n v="275"/>
    <n v="255"/>
    <n v="40"/>
    <x v="1"/>
    <x v="1"/>
  </r>
  <r>
    <x v="8"/>
    <x v="28"/>
    <n v="6"/>
    <n v="30"/>
    <n v="23.5"/>
    <n v="39"/>
    <x v="1"/>
    <x v="1"/>
  </r>
  <r>
    <x v="8"/>
    <x v="29"/>
    <n v="4"/>
    <n v="25"/>
    <n v="22"/>
    <n v="12"/>
    <x v="1"/>
    <x v="1"/>
  </r>
  <r>
    <x v="8"/>
    <x v="2"/>
    <n v="2"/>
    <n v="240"/>
    <n v="197"/>
    <n v="86"/>
    <x v="1"/>
    <x v="1"/>
  </r>
  <r>
    <x v="8"/>
    <x v="51"/>
    <n v="2"/>
    <n v="170"/>
    <n v="152.6"/>
    <n v="34.800000000000011"/>
    <x v="1"/>
    <x v="1"/>
  </r>
  <r>
    <x v="8"/>
    <x v="52"/>
    <n v="8"/>
    <n v="15"/>
    <n v="12.5"/>
    <n v="20"/>
    <x v="1"/>
    <x v="1"/>
  </r>
  <r>
    <x v="8"/>
    <x v="53"/>
    <n v="2"/>
    <n v="60"/>
    <n v="50"/>
    <n v="20"/>
    <x v="1"/>
    <x v="1"/>
  </r>
  <r>
    <x v="8"/>
    <x v="54"/>
    <n v="1"/>
    <n v="220"/>
    <n v="180"/>
    <n v="40"/>
    <x v="1"/>
    <x v="1"/>
  </r>
  <r>
    <x v="8"/>
    <x v="55"/>
    <n v="15"/>
    <n v="4"/>
    <n v="1.6"/>
    <n v="36"/>
    <x v="1"/>
    <x v="1"/>
  </r>
  <r>
    <x v="9"/>
    <x v="56"/>
    <n v="3"/>
    <n v="320"/>
    <n v="295"/>
    <n v="75"/>
    <x v="2"/>
    <x v="1"/>
  </r>
  <r>
    <x v="9"/>
    <x v="57"/>
    <n v="1"/>
    <n v="400"/>
    <n v="330"/>
    <n v="70"/>
    <x v="2"/>
    <x v="1"/>
  </r>
  <r>
    <x v="9"/>
    <x v="58"/>
    <n v="3"/>
    <n v="800"/>
    <n v="710"/>
    <n v="270"/>
    <x v="2"/>
    <x v="1"/>
  </r>
  <r>
    <x v="9"/>
    <x v="59"/>
    <n v="12"/>
    <n v="10"/>
    <n v="9.1"/>
    <n v="10.800000000000004"/>
    <x v="2"/>
    <x v="1"/>
  </r>
  <r>
    <x v="9"/>
    <x v="60"/>
    <n v="10"/>
    <n v="10"/>
    <n v="7"/>
    <n v="30"/>
    <x v="2"/>
    <x v="1"/>
  </r>
  <r>
    <x v="9"/>
    <x v="61"/>
    <n v="2"/>
    <n v="140"/>
    <n v="105"/>
    <n v="70"/>
    <x v="2"/>
    <x v="1"/>
  </r>
  <r>
    <x v="9"/>
    <x v="62"/>
    <n v="2"/>
    <n v="260"/>
    <n v="219"/>
    <n v="82"/>
    <x v="2"/>
    <x v="1"/>
  </r>
  <r>
    <x v="10"/>
    <x v="51"/>
    <n v="8"/>
    <n v="168"/>
    <n v="152.6"/>
    <n v="123.20000000000005"/>
    <x v="3"/>
    <x v="1"/>
  </r>
  <r>
    <x v="10"/>
    <x v="52"/>
    <n v="15"/>
    <n v="14.5"/>
    <n v="12.5"/>
    <n v="30"/>
    <x v="3"/>
    <x v="1"/>
  </r>
  <r>
    <x v="10"/>
    <x v="63"/>
    <n v="4"/>
    <n v="60"/>
    <n v="52"/>
    <n v="32"/>
    <x v="3"/>
    <x v="1"/>
  </r>
  <r>
    <x v="10"/>
    <x v="64"/>
    <n v="2"/>
    <n v="20"/>
    <n v="13"/>
    <n v="14"/>
    <x v="3"/>
    <x v="1"/>
  </r>
  <r>
    <x v="10"/>
    <x v="65"/>
    <n v="2"/>
    <n v="40"/>
    <n v="31.5"/>
    <n v="17"/>
    <x v="3"/>
    <x v="1"/>
  </r>
  <r>
    <x v="10"/>
    <x v="66"/>
    <n v="2"/>
    <n v="90"/>
    <n v="75"/>
    <n v="30"/>
    <x v="3"/>
    <x v="1"/>
  </r>
  <r>
    <x v="10"/>
    <x v="67"/>
    <n v="1"/>
    <n v="110"/>
    <n v="92"/>
    <n v="18"/>
    <x v="3"/>
    <x v="1"/>
  </r>
  <r>
    <x v="10"/>
    <x v="2"/>
    <n v="1"/>
    <n v="235"/>
    <n v="197"/>
    <n v="38"/>
    <x v="3"/>
    <x v="1"/>
  </r>
  <r>
    <x v="10"/>
    <x v="54"/>
    <n v="1"/>
    <n v="220"/>
    <n v="180"/>
    <n v="40"/>
    <x v="3"/>
    <x v="1"/>
  </r>
  <r>
    <x v="10"/>
    <x v="60"/>
    <n v="10"/>
    <n v="10"/>
    <n v="7"/>
    <n v="30"/>
    <x v="3"/>
    <x v="1"/>
  </r>
  <r>
    <x v="10"/>
    <x v="59"/>
    <n v="4"/>
    <n v="10"/>
    <n v="9.1999999999999993"/>
    <n v="3.2000000000000028"/>
    <x v="3"/>
    <x v="1"/>
  </r>
  <r>
    <x v="10"/>
    <x v="55"/>
    <n v="24"/>
    <n v="3.5"/>
    <n v="1.6"/>
    <n v="45.599999999999994"/>
    <x v="3"/>
    <x v="1"/>
  </r>
  <r>
    <x v="11"/>
    <x v="16"/>
    <n v="2"/>
    <n v="325"/>
    <n v="297"/>
    <n v="56"/>
    <x v="4"/>
    <x v="1"/>
  </r>
  <r>
    <x v="11"/>
    <x v="18"/>
    <n v="6"/>
    <n v="60"/>
    <n v="49"/>
    <n v="66"/>
    <x v="4"/>
    <x v="1"/>
  </r>
  <r>
    <x v="11"/>
    <x v="68"/>
    <n v="2"/>
    <n v="160"/>
    <n v="143"/>
    <n v="34"/>
    <x v="4"/>
    <x v="1"/>
  </r>
  <r>
    <x v="11"/>
    <x v="69"/>
    <n v="2"/>
    <n v="60"/>
    <n v="47.5"/>
    <n v="25"/>
    <x v="4"/>
    <x v="1"/>
  </r>
  <r>
    <x v="11"/>
    <x v="70"/>
    <n v="2"/>
    <n v="40"/>
    <n v="22"/>
    <n v="36"/>
    <x v="4"/>
    <x v="1"/>
  </r>
  <r>
    <x v="11"/>
    <x v="71"/>
    <n v="2"/>
    <n v="130"/>
    <n v="93"/>
    <n v="74"/>
    <x v="4"/>
    <x v="1"/>
  </r>
  <r>
    <x v="11"/>
    <x v="34"/>
    <n v="12"/>
    <n v="15"/>
    <n v="9.6"/>
    <n v="64.800000000000011"/>
    <x v="4"/>
    <x v="1"/>
  </r>
  <r>
    <x v="11"/>
    <x v="33"/>
    <n v="7"/>
    <n v="50"/>
    <n v="36.5"/>
    <n v="94.5"/>
    <x v="4"/>
    <x v="1"/>
  </r>
  <r>
    <x v="12"/>
    <x v="72"/>
    <n v="1"/>
    <n v="1100"/>
    <n v="980"/>
    <n v="120"/>
    <x v="5"/>
    <x v="1"/>
  </r>
  <r>
    <x v="12"/>
    <x v="9"/>
    <n v="4"/>
    <n v="550"/>
    <n v="523.5"/>
    <n v="106"/>
    <x v="5"/>
    <x v="1"/>
  </r>
  <r>
    <x v="12"/>
    <x v="73"/>
    <n v="1"/>
    <n v="380"/>
    <n v="335"/>
    <n v="45"/>
    <x v="5"/>
    <x v="1"/>
  </r>
  <r>
    <x v="12"/>
    <x v="74"/>
    <n v="1"/>
    <n v="50"/>
    <n v="22"/>
    <n v="28"/>
    <x v="5"/>
    <x v="1"/>
  </r>
  <r>
    <x v="12"/>
    <x v="75"/>
    <n v="1"/>
    <n v="60"/>
    <n v="46"/>
    <n v="14"/>
    <x v="5"/>
    <x v="1"/>
  </r>
  <r>
    <x v="12"/>
    <x v="7"/>
    <n v="5"/>
    <n v="60"/>
    <n v="42"/>
    <n v="90"/>
    <x v="5"/>
    <x v="1"/>
  </r>
  <r>
    <x v="12"/>
    <x v="8"/>
    <n v="1"/>
    <n v="60"/>
    <n v="47.5"/>
    <n v="12.5"/>
    <x v="5"/>
    <x v="1"/>
  </r>
  <r>
    <x v="12"/>
    <x v="76"/>
    <n v="1"/>
    <n v="140"/>
    <n v="98"/>
    <n v="42"/>
    <x v="5"/>
    <x v="1"/>
  </r>
  <r>
    <x v="13"/>
    <x v="15"/>
    <n v="1"/>
    <n v="450"/>
    <n v="376"/>
    <n v="74"/>
    <x v="6"/>
    <x v="1"/>
  </r>
  <r>
    <x v="13"/>
    <x v="0"/>
    <n v="5"/>
    <n v="280"/>
    <n v="255"/>
    <n v="125"/>
    <x v="6"/>
    <x v="1"/>
  </r>
  <r>
    <x v="13"/>
    <x v="66"/>
    <n v="1"/>
    <n v="120"/>
    <n v="88"/>
    <n v="32"/>
    <x v="6"/>
    <x v="1"/>
  </r>
  <r>
    <x v="13"/>
    <x v="2"/>
    <n v="1"/>
    <n v="240"/>
    <n v="215"/>
    <n v="25"/>
    <x v="6"/>
    <x v="1"/>
  </r>
  <r>
    <x v="13"/>
    <x v="77"/>
    <n v="2"/>
    <n v="45"/>
    <n v="36.9"/>
    <n v="16.200000000000003"/>
    <x v="6"/>
    <x v="1"/>
  </r>
  <r>
    <x v="13"/>
    <x v="75"/>
    <n v="1"/>
    <n v="90"/>
    <n v="65"/>
    <n v="25"/>
    <x v="6"/>
    <x v="1"/>
  </r>
  <r>
    <x v="13"/>
    <x v="78"/>
    <n v="1"/>
    <n v="1600"/>
    <n v="1440"/>
    <n v="160"/>
    <x v="6"/>
    <x v="1"/>
  </r>
  <r>
    <x v="13"/>
    <x v="79"/>
    <n v="3"/>
    <n v="15"/>
    <n v="9.8000000000000007"/>
    <n v="15.599999999999998"/>
    <x v="6"/>
    <x v="1"/>
  </r>
  <r>
    <x v="13"/>
    <x v="80"/>
    <n v="5"/>
    <n v="15"/>
    <n v="11"/>
    <n v="20"/>
    <x v="6"/>
    <x v="1"/>
  </r>
  <r>
    <x v="14"/>
    <x v="51"/>
    <n v="10"/>
    <n v="170"/>
    <n v="152.5"/>
    <n v="175"/>
    <x v="0"/>
    <x v="2"/>
  </r>
  <r>
    <x v="14"/>
    <x v="81"/>
    <n v="12"/>
    <n v="10"/>
    <n v="6.5"/>
    <n v="42"/>
    <x v="0"/>
    <x v="2"/>
  </r>
  <r>
    <x v="14"/>
    <x v="52"/>
    <n v="5"/>
    <n v="15"/>
    <n v="12.5"/>
    <n v="12.5"/>
    <x v="0"/>
    <x v="2"/>
  </r>
  <r>
    <x v="14"/>
    <x v="82"/>
    <n v="1"/>
    <n v="380"/>
    <n v="342"/>
    <n v="38"/>
    <x v="0"/>
    <x v="2"/>
  </r>
  <r>
    <x v="14"/>
    <x v="63"/>
    <n v="1"/>
    <n v="65"/>
    <n v="51"/>
    <n v="14"/>
    <x v="0"/>
    <x v="2"/>
  </r>
  <r>
    <x v="14"/>
    <x v="83"/>
    <n v="1"/>
    <n v="55"/>
    <n v="46"/>
    <n v="9"/>
    <x v="0"/>
    <x v="2"/>
  </r>
  <r>
    <x v="14"/>
    <x v="7"/>
    <n v="1"/>
    <n v="60"/>
    <n v="38"/>
    <n v="22"/>
    <x v="0"/>
    <x v="2"/>
  </r>
  <r>
    <x v="14"/>
    <x v="54"/>
    <n v="1"/>
    <n v="220"/>
    <n v="180"/>
    <n v="40"/>
    <x v="0"/>
    <x v="2"/>
  </r>
  <r>
    <x v="14"/>
    <x v="84"/>
    <n v="1"/>
    <n v="5600"/>
    <n v="5400"/>
    <n v="200"/>
    <x v="0"/>
    <x v="2"/>
  </r>
  <r>
    <x v="15"/>
    <x v="24"/>
    <n v="1"/>
    <n v="2600"/>
    <n v="2350"/>
    <n v="250"/>
    <x v="1"/>
    <x v="2"/>
  </r>
  <r>
    <x v="15"/>
    <x v="85"/>
    <n v="1"/>
    <n v="230"/>
    <n v="177"/>
    <n v="53"/>
    <x v="1"/>
    <x v="2"/>
  </r>
  <r>
    <x v="15"/>
    <x v="22"/>
    <n v="1"/>
    <n v="90"/>
    <n v="72"/>
    <n v="18"/>
    <x v="1"/>
    <x v="2"/>
  </r>
  <r>
    <x v="15"/>
    <x v="61"/>
    <n v="1"/>
    <n v="110"/>
    <n v="80"/>
    <n v="30"/>
    <x v="1"/>
    <x v="2"/>
  </r>
  <r>
    <x v="15"/>
    <x v="86"/>
    <n v="1"/>
    <n v="60"/>
    <n v="38"/>
    <n v="22"/>
    <x v="1"/>
    <x v="2"/>
  </r>
  <r>
    <x v="15"/>
    <x v="25"/>
    <n v="1"/>
    <n v="70"/>
    <n v="52"/>
    <n v="18"/>
    <x v="1"/>
    <x v="2"/>
  </r>
  <r>
    <x v="15"/>
    <x v="27"/>
    <n v="1"/>
    <n v="40"/>
    <n v="33"/>
    <n v="7"/>
    <x v="1"/>
    <x v="2"/>
  </r>
  <r>
    <x v="15"/>
    <x v="26"/>
    <n v="2"/>
    <n v="120"/>
    <n v="84"/>
    <n v="72"/>
    <x v="1"/>
    <x v="2"/>
  </r>
  <r>
    <x v="15"/>
    <x v="87"/>
    <n v="1"/>
    <n v="80"/>
    <n v="56"/>
    <n v="24"/>
    <x v="1"/>
    <x v="2"/>
  </r>
  <r>
    <x v="16"/>
    <x v="16"/>
    <n v="6"/>
    <n v="330"/>
    <n v="302"/>
    <n v="168"/>
    <x v="2"/>
    <x v="2"/>
  </r>
  <r>
    <x v="16"/>
    <x v="20"/>
    <n v="10"/>
    <n v="20"/>
    <n v="16.5"/>
    <n v="35"/>
    <x v="2"/>
    <x v="2"/>
  </r>
  <r>
    <x v="16"/>
    <x v="70"/>
    <n v="4"/>
    <n v="30"/>
    <n v="18"/>
    <n v="48"/>
    <x v="2"/>
    <x v="2"/>
  </r>
  <r>
    <x v="16"/>
    <x v="71"/>
    <n v="1"/>
    <n v="140"/>
    <n v="112"/>
    <n v="28"/>
    <x v="2"/>
    <x v="2"/>
  </r>
  <r>
    <x v="16"/>
    <x v="51"/>
    <n v="2"/>
    <n v="175"/>
    <n v="152.5"/>
    <n v="45"/>
    <x v="2"/>
    <x v="2"/>
  </r>
  <r>
    <x v="16"/>
    <x v="52"/>
    <n v="5"/>
    <n v="15"/>
    <n v="12.5"/>
    <n v="12.5"/>
    <x v="2"/>
    <x v="2"/>
  </r>
  <r>
    <x v="16"/>
    <x v="63"/>
    <n v="1"/>
    <n v="70"/>
    <n v="51"/>
    <n v="19"/>
    <x v="2"/>
    <x v="2"/>
  </r>
  <r>
    <x v="16"/>
    <x v="7"/>
    <n v="1"/>
    <n v="60"/>
    <n v="38"/>
    <n v="22"/>
    <x v="2"/>
    <x v="2"/>
  </r>
  <r>
    <x v="17"/>
    <x v="88"/>
    <n v="3"/>
    <n v="1350"/>
    <n v="1265"/>
    <n v="255"/>
    <x v="3"/>
    <x v="2"/>
  </r>
  <r>
    <x v="17"/>
    <x v="89"/>
    <n v="5"/>
    <n v="490"/>
    <n v="456"/>
    <n v="170"/>
    <x v="3"/>
    <x v="2"/>
  </r>
  <r>
    <x v="17"/>
    <x v="90"/>
    <n v="10"/>
    <n v="50"/>
    <n v="37"/>
    <n v="130"/>
    <x v="3"/>
    <x v="2"/>
  </r>
  <r>
    <x v="17"/>
    <x v="91"/>
    <n v="1"/>
    <n v="800"/>
    <n v="670"/>
    <n v="130"/>
    <x v="3"/>
    <x v="2"/>
  </r>
  <r>
    <x v="17"/>
    <x v="72"/>
    <n v="1"/>
    <n v="1200"/>
    <n v="1050"/>
    <n v="150"/>
    <x v="3"/>
    <x v="2"/>
  </r>
  <r>
    <x v="17"/>
    <x v="54"/>
    <n v="1"/>
    <n v="160"/>
    <n v="140"/>
    <n v="20"/>
    <x v="3"/>
    <x v="2"/>
  </r>
  <r>
    <x v="18"/>
    <x v="9"/>
    <n v="4"/>
    <n v="550"/>
    <n v="523"/>
    <n v="108"/>
    <x v="4"/>
    <x v="2"/>
  </r>
  <r>
    <x v="18"/>
    <x v="10"/>
    <n v="3"/>
    <n v="90"/>
    <n v="78"/>
    <n v="36"/>
    <x v="4"/>
    <x v="2"/>
  </r>
  <r>
    <x v="18"/>
    <x v="11"/>
    <n v="8"/>
    <n v="110"/>
    <n v="89"/>
    <n v="168"/>
    <x v="4"/>
    <x v="2"/>
  </r>
  <r>
    <x v="18"/>
    <x v="92"/>
    <n v="1"/>
    <n v="160"/>
    <n v="144"/>
    <n v="16"/>
    <x v="4"/>
    <x v="2"/>
  </r>
  <r>
    <x v="18"/>
    <x v="13"/>
    <n v="2"/>
    <n v="35"/>
    <n v="28"/>
    <n v="14"/>
    <x v="4"/>
    <x v="2"/>
  </r>
  <r>
    <x v="18"/>
    <x v="93"/>
    <n v="1"/>
    <n v="110"/>
    <n v="89"/>
    <n v="21"/>
    <x v="4"/>
    <x v="2"/>
  </r>
  <r>
    <x v="18"/>
    <x v="34"/>
    <n v="6"/>
    <n v="10"/>
    <n v="9.1"/>
    <n v="5.4000000000000021"/>
    <x v="4"/>
    <x v="2"/>
  </r>
  <r>
    <x v="18"/>
    <x v="94"/>
    <n v="12"/>
    <n v="25"/>
    <n v="18"/>
    <n v="84"/>
    <x v="4"/>
    <x v="2"/>
  </r>
  <r>
    <x v="19"/>
    <x v="95"/>
    <n v="3"/>
    <n v="750"/>
    <n v="660"/>
    <n v="270"/>
    <x v="5"/>
    <x v="2"/>
  </r>
  <r>
    <x v="19"/>
    <x v="46"/>
    <n v="6"/>
    <n v="70"/>
    <n v="54.5"/>
    <n v="93"/>
    <x v="5"/>
    <x v="2"/>
  </r>
  <r>
    <x v="19"/>
    <x v="59"/>
    <n v="20"/>
    <n v="10"/>
    <n v="8"/>
    <n v="40"/>
    <x v="5"/>
    <x v="2"/>
  </r>
  <r>
    <x v="19"/>
    <x v="96"/>
    <n v="1"/>
    <n v="1080"/>
    <n v="870"/>
    <n v="210"/>
    <x v="5"/>
    <x v="2"/>
  </r>
  <r>
    <x v="19"/>
    <x v="7"/>
    <n v="8"/>
    <n v="60"/>
    <n v="38"/>
    <n v="176"/>
    <x v="5"/>
    <x v="2"/>
  </r>
  <r>
    <x v="19"/>
    <x v="85"/>
    <n v="1"/>
    <n v="230"/>
    <n v="176"/>
    <n v="54"/>
    <x v="5"/>
    <x v="2"/>
  </r>
  <r>
    <x v="19"/>
    <x v="97"/>
    <n v="1"/>
    <n v="220"/>
    <n v="160"/>
    <n v="60"/>
    <x v="5"/>
    <x v="2"/>
  </r>
  <r>
    <x v="20"/>
    <x v="32"/>
    <n v="1"/>
    <n v="1300"/>
    <n v="1172"/>
    <n v="128"/>
    <x v="6"/>
    <x v="2"/>
  </r>
  <r>
    <x v="20"/>
    <x v="9"/>
    <n v="4"/>
    <n v="550"/>
    <n v="525"/>
    <n v="100"/>
    <x v="6"/>
    <x v="2"/>
  </r>
  <r>
    <x v="20"/>
    <x v="73"/>
    <n v="1"/>
    <n v="380"/>
    <n v="335"/>
    <n v="45"/>
    <x v="6"/>
    <x v="2"/>
  </r>
  <r>
    <x v="20"/>
    <x v="74"/>
    <n v="1"/>
    <n v="50"/>
    <n v="22"/>
    <n v="28"/>
    <x v="6"/>
    <x v="2"/>
  </r>
  <r>
    <x v="20"/>
    <x v="98"/>
    <n v="1"/>
    <n v="90"/>
    <n v="75"/>
    <n v="15"/>
    <x v="6"/>
    <x v="2"/>
  </r>
  <r>
    <x v="20"/>
    <x v="92"/>
    <n v="2"/>
    <n v="160"/>
    <n v="144"/>
    <n v="32"/>
    <x v="6"/>
    <x v="2"/>
  </r>
  <r>
    <x v="20"/>
    <x v="93"/>
    <n v="2"/>
    <n v="110"/>
    <n v="89"/>
    <n v="42"/>
    <x v="6"/>
    <x v="2"/>
  </r>
  <r>
    <x v="20"/>
    <x v="54"/>
    <n v="1"/>
    <n v="165"/>
    <n v="140"/>
    <n v="25"/>
    <x v="6"/>
    <x v="2"/>
  </r>
  <r>
    <x v="21"/>
    <x v="99"/>
    <n v="2"/>
    <n v="540"/>
    <n v="480"/>
    <n v="120"/>
    <x v="0"/>
    <x v="3"/>
  </r>
  <r>
    <x v="21"/>
    <x v="65"/>
    <n v="2"/>
    <n v="40"/>
    <n v="44.5"/>
    <n v="-9"/>
    <x v="0"/>
    <x v="3"/>
  </r>
  <r>
    <x v="21"/>
    <x v="100"/>
    <n v="2"/>
    <n v="25"/>
    <n v="21"/>
    <n v="8"/>
    <x v="0"/>
    <x v="3"/>
  </r>
  <r>
    <x v="21"/>
    <x v="4"/>
    <n v="1"/>
    <n v="20"/>
    <n v="14"/>
    <n v="6"/>
    <x v="0"/>
    <x v="3"/>
  </r>
  <r>
    <x v="21"/>
    <x v="51"/>
    <n v="6"/>
    <n v="180"/>
    <n v="167"/>
    <n v="78"/>
    <x v="0"/>
    <x v="3"/>
  </r>
  <r>
    <x v="21"/>
    <x v="101"/>
    <n v="12"/>
    <n v="15"/>
    <n v="12.5"/>
    <n v="30"/>
    <x v="0"/>
    <x v="3"/>
  </r>
  <r>
    <x v="21"/>
    <x v="81"/>
    <n v="6"/>
    <n v="10"/>
    <n v="8.4"/>
    <n v="9.5999999999999979"/>
    <x v="0"/>
    <x v="3"/>
  </r>
  <r>
    <x v="21"/>
    <x v="102"/>
    <n v="2"/>
    <n v="40"/>
    <n v="31"/>
    <n v="18"/>
    <x v="0"/>
    <x v="3"/>
  </r>
  <r>
    <x v="22"/>
    <x v="82"/>
    <n v="1"/>
    <n v="310"/>
    <n v="269"/>
    <n v="41"/>
    <x v="1"/>
    <x v="3"/>
  </r>
  <r>
    <x v="22"/>
    <x v="103"/>
    <n v="1"/>
    <n v="60"/>
    <n v="51"/>
    <n v="9"/>
    <x v="1"/>
    <x v="3"/>
  </r>
  <r>
    <x v="22"/>
    <x v="99"/>
    <n v="1"/>
    <n v="550"/>
    <n v="480"/>
    <n v="70"/>
    <x v="1"/>
    <x v="3"/>
  </r>
  <r>
    <x v="22"/>
    <x v="16"/>
    <n v="3"/>
    <n v="325"/>
    <n v="297"/>
    <n v="84"/>
    <x v="1"/>
    <x v="3"/>
  </r>
  <r>
    <x v="22"/>
    <x v="69"/>
    <n v="6"/>
    <n v="60"/>
    <n v="51"/>
    <n v="54"/>
    <x v="1"/>
    <x v="3"/>
  </r>
  <r>
    <x v="22"/>
    <x v="68"/>
    <n v="6"/>
    <n v="170"/>
    <n v="145"/>
    <n v="150"/>
    <x v="1"/>
    <x v="3"/>
  </r>
  <r>
    <x v="22"/>
    <x v="30"/>
    <n v="1"/>
    <n v="60"/>
    <n v="47"/>
    <n v="13"/>
    <x v="1"/>
    <x v="3"/>
  </r>
  <r>
    <x v="22"/>
    <x v="78"/>
    <n v="1"/>
    <n v="1650"/>
    <n v="1376"/>
    <n v="274"/>
    <x v="1"/>
    <x v="3"/>
  </r>
  <r>
    <x v="22"/>
    <x v="79"/>
    <n v="4"/>
    <n v="10"/>
    <n v="8.3000000000000007"/>
    <n v="6.7999999999999972"/>
    <x v="1"/>
    <x v="3"/>
  </r>
  <r>
    <x v="22"/>
    <x v="104"/>
    <n v="12"/>
    <n v="10"/>
    <n v="8"/>
    <n v="24"/>
    <x v="1"/>
    <x v="3"/>
  </r>
  <r>
    <x v="22"/>
    <x v="51"/>
    <n v="2"/>
    <n v="180"/>
    <n v="163"/>
    <n v="34"/>
    <x v="1"/>
    <x v="3"/>
  </r>
  <r>
    <x v="22"/>
    <x v="7"/>
    <n v="2"/>
    <n v="50"/>
    <n v="32"/>
    <n v="36"/>
    <x v="1"/>
    <x v="3"/>
  </r>
  <r>
    <x v="23"/>
    <x v="105"/>
    <n v="1"/>
    <n v="6800"/>
    <n v="6350"/>
    <n v="450"/>
    <x v="2"/>
    <x v="3"/>
  </r>
  <r>
    <x v="23"/>
    <x v="51"/>
    <n v="20"/>
    <n v="175"/>
    <n v="167"/>
    <n v="160"/>
    <x v="2"/>
    <x v="3"/>
  </r>
  <r>
    <x v="23"/>
    <x v="81"/>
    <n v="20"/>
    <n v="14"/>
    <n v="12.5"/>
    <n v="30"/>
    <x v="2"/>
    <x v="3"/>
  </r>
  <r>
    <x v="23"/>
    <x v="65"/>
    <n v="2"/>
    <n v="40"/>
    <n v="33.5"/>
    <n v="13"/>
    <x v="2"/>
    <x v="3"/>
  </r>
  <r>
    <x v="23"/>
    <x v="100"/>
    <n v="2"/>
    <n v="25"/>
    <n v="21"/>
    <n v="8"/>
    <x v="2"/>
    <x v="3"/>
  </r>
  <r>
    <x v="23"/>
    <x v="52"/>
    <n v="8"/>
    <n v="15"/>
    <n v="12.5"/>
    <n v="20"/>
    <x v="2"/>
    <x v="3"/>
  </r>
  <r>
    <x v="23"/>
    <x v="103"/>
    <n v="3"/>
    <n v="60"/>
    <n v="48"/>
    <n v="36"/>
    <x v="2"/>
    <x v="3"/>
  </r>
  <r>
    <x v="23"/>
    <x v="82"/>
    <n v="1"/>
    <n v="300"/>
    <n v="269"/>
    <n v="31"/>
    <x v="2"/>
    <x v="3"/>
  </r>
  <r>
    <x v="23"/>
    <x v="75"/>
    <n v="4"/>
    <n v="110"/>
    <n v="88"/>
    <n v="88"/>
    <x v="2"/>
    <x v="3"/>
  </r>
  <r>
    <x v="23"/>
    <x v="106"/>
    <n v="50"/>
    <n v="10"/>
    <n v="8.3000000000000007"/>
    <n v="84.999999999999972"/>
    <x v="2"/>
    <x v="3"/>
  </r>
  <r>
    <x v="23"/>
    <x v="7"/>
    <n v="2"/>
    <n v="60"/>
    <n v="42"/>
    <n v="36"/>
    <x v="2"/>
    <x v="3"/>
  </r>
  <r>
    <x v="24"/>
    <x v="107"/>
    <n v="2"/>
    <n v="50"/>
    <n v="37"/>
    <n v="26"/>
    <x v="3"/>
    <x v="3"/>
  </r>
  <r>
    <x v="24"/>
    <x v="34"/>
    <n v="3"/>
    <n v="110"/>
    <n v="90"/>
    <n v="60"/>
    <x v="3"/>
    <x v="3"/>
  </r>
  <r>
    <x v="24"/>
    <x v="14"/>
    <n v="5"/>
    <n v="10"/>
    <n v="9.1"/>
    <n v="4.5000000000000018"/>
    <x v="3"/>
    <x v="3"/>
  </r>
  <r>
    <x v="24"/>
    <x v="16"/>
    <n v="1"/>
    <n v="325"/>
    <n v="297"/>
    <n v="28"/>
    <x v="3"/>
    <x v="3"/>
  </r>
  <r>
    <x v="24"/>
    <x v="17"/>
    <n v="1"/>
    <n v="90"/>
    <n v="78"/>
    <n v="12"/>
    <x v="3"/>
    <x v="3"/>
  </r>
  <r>
    <x v="24"/>
    <x v="4"/>
    <n v="1"/>
    <n v="20"/>
    <n v="14"/>
    <n v="6"/>
    <x v="3"/>
    <x v="3"/>
  </r>
  <r>
    <x v="24"/>
    <x v="45"/>
    <n v="2"/>
    <n v="360"/>
    <n v="332"/>
    <n v="56"/>
    <x v="3"/>
    <x v="3"/>
  </r>
  <r>
    <x v="25"/>
    <x v="51"/>
    <n v="5"/>
    <n v="185"/>
    <n v="164"/>
    <n v="105"/>
    <x v="4"/>
    <x v="3"/>
  </r>
  <r>
    <x v="25"/>
    <x v="52"/>
    <n v="12"/>
    <n v="15"/>
    <n v="12.5"/>
    <n v="30"/>
    <x v="4"/>
    <x v="3"/>
  </r>
  <r>
    <x v="25"/>
    <x v="108"/>
    <n v="1"/>
    <n v="530"/>
    <n v="466"/>
    <n v="64"/>
    <x v="4"/>
    <x v="3"/>
  </r>
  <r>
    <x v="25"/>
    <x v="109"/>
    <n v="1"/>
    <n v="125"/>
    <n v="99"/>
    <n v="26"/>
    <x v="4"/>
    <x v="3"/>
  </r>
  <r>
    <x v="25"/>
    <x v="75"/>
    <n v="1"/>
    <n v="110"/>
    <n v="88"/>
    <n v="22"/>
    <x v="4"/>
    <x v="3"/>
  </r>
  <r>
    <x v="25"/>
    <x v="16"/>
    <n v="2"/>
    <n v="325"/>
    <n v="297"/>
    <n v="56"/>
    <x v="4"/>
    <x v="3"/>
  </r>
  <r>
    <x v="25"/>
    <x v="68"/>
    <n v="2"/>
    <n v="170"/>
    <n v="145"/>
    <n v="50"/>
    <x v="4"/>
    <x v="3"/>
  </r>
  <r>
    <x v="25"/>
    <x v="69"/>
    <n v="2"/>
    <n v="60"/>
    <n v="51"/>
    <n v="18"/>
    <x v="4"/>
    <x v="3"/>
  </r>
  <r>
    <x v="25"/>
    <x v="70"/>
    <n v="2"/>
    <n v="30"/>
    <n v="23"/>
    <n v="14"/>
    <x v="4"/>
    <x v="3"/>
  </r>
  <r>
    <x v="25"/>
    <x v="102"/>
    <n v="1"/>
    <n v="60"/>
    <n v="51"/>
    <n v="9"/>
    <x v="4"/>
    <x v="3"/>
  </r>
  <r>
    <x v="26"/>
    <x v="0"/>
    <n v="15"/>
    <n v="270"/>
    <n v="253"/>
    <n v="255"/>
    <x v="5"/>
    <x v="3"/>
  </r>
  <r>
    <x v="26"/>
    <x v="29"/>
    <n v="15"/>
    <n v="22"/>
    <n v="19.5"/>
    <n v="37.5"/>
    <x v="5"/>
    <x v="3"/>
  </r>
  <r>
    <x v="26"/>
    <x v="28"/>
    <n v="32"/>
    <n v="30"/>
    <n v="26"/>
    <n v="128"/>
    <x v="5"/>
    <x v="3"/>
  </r>
  <r>
    <x v="26"/>
    <x v="110"/>
    <n v="2"/>
    <n v="45"/>
    <n v="38"/>
    <n v="14"/>
    <x v="5"/>
    <x v="3"/>
  </r>
  <r>
    <x v="26"/>
    <x v="111"/>
    <n v="2"/>
    <n v="40"/>
    <n v="36"/>
    <n v="8"/>
    <x v="5"/>
    <x v="3"/>
  </r>
  <r>
    <x v="26"/>
    <x v="112"/>
    <n v="2"/>
    <n v="36"/>
    <n v="29"/>
    <n v="14"/>
    <x v="5"/>
    <x v="3"/>
  </r>
  <r>
    <x v="26"/>
    <x v="113"/>
    <n v="6"/>
    <n v="120"/>
    <n v="89"/>
    <n v="186"/>
    <x v="5"/>
    <x v="3"/>
  </r>
  <r>
    <x v="26"/>
    <x v="114"/>
    <n v="4"/>
    <n v="135"/>
    <n v="110"/>
    <n v="100"/>
    <x v="5"/>
    <x v="3"/>
  </r>
  <r>
    <x v="26"/>
    <x v="75"/>
    <n v="4"/>
    <n v="110"/>
    <n v="89"/>
    <n v="84"/>
    <x v="5"/>
    <x v="3"/>
  </r>
  <r>
    <x v="26"/>
    <x v="60"/>
    <n v="20"/>
    <n v="10"/>
    <n v="4.5"/>
    <n v="110"/>
    <x v="5"/>
    <x v="3"/>
  </r>
  <r>
    <x v="27"/>
    <x v="9"/>
    <n v="3"/>
    <n v="570"/>
    <n v="523"/>
    <n v="141"/>
    <x v="6"/>
    <x v="3"/>
  </r>
  <r>
    <x v="27"/>
    <x v="11"/>
    <n v="6"/>
    <n v="110"/>
    <n v="89"/>
    <n v="126"/>
    <x v="6"/>
    <x v="3"/>
  </r>
  <r>
    <x v="27"/>
    <x v="12"/>
    <n v="3"/>
    <n v="190"/>
    <n v="164"/>
    <n v="78"/>
    <x v="6"/>
    <x v="3"/>
  </r>
  <r>
    <x v="27"/>
    <x v="13"/>
    <n v="1"/>
    <n v="110"/>
    <n v="98"/>
    <n v="12"/>
    <x v="6"/>
    <x v="3"/>
  </r>
  <r>
    <x v="27"/>
    <x v="5"/>
    <n v="8"/>
    <n v="10"/>
    <n v="9.1999999999999993"/>
    <n v="6.4000000000000057"/>
    <x v="6"/>
    <x v="3"/>
  </r>
  <r>
    <x v="27"/>
    <x v="115"/>
    <n v="1"/>
    <n v="580"/>
    <n v="442"/>
    <n v="138"/>
    <x v="6"/>
    <x v="3"/>
  </r>
  <r>
    <x v="27"/>
    <x v="25"/>
    <n v="1"/>
    <n v="60"/>
    <n v="47"/>
    <n v="13"/>
    <x v="6"/>
    <x v="3"/>
  </r>
  <r>
    <x v="27"/>
    <x v="116"/>
    <n v="1"/>
    <n v="110"/>
    <n v="88"/>
    <n v="22"/>
    <x v="6"/>
    <x v="3"/>
  </r>
  <r>
    <x v="27"/>
    <x v="87"/>
    <n v="1"/>
    <n v="80"/>
    <n v="71"/>
    <n v="9"/>
    <x v="6"/>
    <x v="3"/>
  </r>
  <r>
    <x v="27"/>
    <x v="117"/>
    <n v="2"/>
    <n v="120"/>
    <n v="84"/>
    <n v="72"/>
    <x v="6"/>
    <x v="3"/>
  </r>
  <r>
    <x v="27"/>
    <x v="118"/>
    <n v="1"/>
    <n v="220"/>
    <n v="180"/>
    <n v="40"/>
    <x v="6"/>
    <x v="3"/>
  </r>
  <r>
    <x v="27"/>
    <x v="27"/>
    <n v="2"/>
    <n v="45"/>
    <n v="38"/>
    <n v="14"/>
    <x v="6"/>
    <x v="3"/>
  </r>
  <r>
    <x v="28"/>
    <x v="84"/>
    <n v="1"/>
    <n v="8300"/>
    <n v="8020"/>
    <n v="280"/>
    <x v="0"/>
    <x v="4"/>
  </r>
  <r>
    <x v="28"/>
    <x v="1"/>
    <n v="1"/>
    <n v="1300"/>
    <n v="1180"/>
    <n v="120"/>
    <x v="0"/>
    <x v="4"/>
  </r>
  <r>
    <x v="28"/>
    <x v="79"/>
    <n v="2"/>
    <n v="15"/>
    <n v="12"/>
    <n v="6"/>
    <x v="0"/>
    <x v="4"/>
  </r>
  <r>
    <x v="28"/>
    <x v="104"/>
    <n v="6"/>
    <n v="10"/>
    <n v="9"/>
    <n v="6"/>
    <x v="0"/>
    <x v="4"/>
  </r>
  <r>
    <x v="28"/>
    <x v="51"/>
    <n v="22"/>
    <n v="185"/>
    <n v="164"/>
    <n v="462"/>
    <x v="0"/>
    <x v="4"/>
  </r>
  <r>
    <x v="28"/>
    <x v="52"/>
    <n v="12"/>
    <n v="15"/>
    <n v="12.5"/>
    <n v="30"/>
    <x v="0"/>
    <x v="4"/>
  </r>
  <r>
    <x v="28"/>
    <x v="108"/>
    <n v="1"/>
    <n v="530"/>
    <n v="466"/>
    <n v="64"/>
    <x v="0"/>
    <x v="4"/>
  </r>
  <r>
    <x v="28"/>
    <x v="109"/>
    <n v="2"/>
    <n v="125"/>
    <n v="99"/>
    <n v="52"/>
    <x v="0"/>
    <x v="4"/>
  </r>
  <r>
    <x v="28"/>
    <x v="75"/>
    <n v="2"/>
    <n v="110"/>
    <n v="88"/>
    <n v="44"/>
    <x v="0"/>
    <x v="4"/>
  </r>
  <r>
    <x v="29"/>
    <x v="9"/>
    <n v="4"/>
    <n v="570"/>
    <n v="521"/>
    <n v="196"/>
    <x v="1"/>
    <x v="4"/>
  </r>
  <r>
    <x v="29"/>
    <x v="11"/>
    <n v="8"/>
    <n v="110"/>
    <n v="89"/>
    <n v="168"/>
    <x v="1"/>
    <x v="4"/>
  </r>
  <r>
    <x v="29"/>
    <x v="12"/>
    <n v="1"/>
    <n v="190"/>
    <n v="164"/>
    <n v="26"/>
    <x v="1"/>
    <x v="4"/>
  </r>
  <r>
    <x v="29"/>
    <x v="10"/>
    <n v="2"/>
    <n v="90"/>
    <n v="79"/>
    <n v="22"/>
    <x v="1"/>
    <x v="4"/>
  </r>
  <r>
    <x v="29"/>
    <x v="119"/>
    <n v="1"/>
    <n v="340"/>
    <n v="296"/>
    <n v="44"/>
    <x v="1"/>
    <x v="4"/>
  </r>
  <r>
    <x v="29"/>
    <x v="13"/>
    <n v="2"/>
    <n v="110"/>
    <n v="98"/>
    <n v="24"/>
    <x v="1"/>
    <x v="4"/>
  </r>
  <r>
    <x v="29"/>
    <x v="5"/>
    <n v="6"/>
    <n v="10"/>
    <n v="9.1"/>
    <n v="5.4000000000000021"/>
    <x v="1"/>
    <x v="4"/>
  </r>
  <r>
    <x v="29"/>
    <x v="120"/>
    <n v="1"/>
    <n v="2200"/>
    <n v="1872"/>
    <n v="328"/>
    <x v="1"/>
    <x v="4"/>
  </r>
  <r>
    <x v="30"/>
    <x v="121"/>
    <n v="1"/>
    <n v="4450"/>
    <n v="4095"/>
    <n v="355"/>
    <x v="2"/>
    <x v="4"/>
  </r>
  <r>
    <x v="30"/>
    <x v="54"/>
    <n v="2"/>
    <n v="250"/>
    <n v="210"/>
    <n v="80"/>
    <x v="2"/>
    <x v="4"/>
  </r>
  <r>
    <x v="30"/>
    <x v="122"/>
    <n v="6"/>
    <n v="120"/>
    <n v="91"/>
    <n v="174"/>
    <x v="2"/>
    <x v="4"/>
  </r>
  <r>
    <x v="30"/>
    <x v="123"/>
    <n v="6"/>
    <n v="90"/>
    <n v="72"/>
    <n v="108"/>
    <x v="2"/>
    <x v="4"/>
  </r>
  <r>
    <x v="30"/>
    <x v="124"/>
    <n v="10"/>
    <n v="20"/>
    <n v="14.24"/>
    <n v="57.599999999999994"/>
    <x v="2"/>
    <x v="4"/>
  </r>
  <r>
    <x v="30"/>
    <x v="51"/>
    <n v="3"/>
    <n v="170"/>
    <n v="159"/>
    <n v="33"/>
    <x v="2"/>
    <x v="4"/>
  </r>
  <r>
    <x v="30"/>
    <x v="103"/>
    <n v="2"/>
    <n v="70"/>
    <n v="53"/>
    <n v="34"/>
    <x v="2"/>
    <x v="4"/>
  </r>
  <r>
    <x v="30"/>
    <x v="4"/>
    <n v="2"/>
    <n v="20"/>
    <n v="14"/>
    <n v="12"/>
    <x v="2"/>
    <x v="4"/>
  </r>
  <r>
    <x v="31"/>
    <x v="16"/>
    <n v="3"/>
    <n v="320"/>
    <n v="290"/>
    <n v="90"/>
    <x v="3"/>
    <x v="4"/>
  </r>
  <r>
    <x v="31"/>
    <x v="17"/>
    <n v="2"/>
    <n v="90"/>
    <n v="78"/>
    <n v="24"/>
    <x v="3"/>
    <x v="4"/>
  </r>
  <r>
    <x v="31"/>
    <x v="70"/>
    <n v="2"/>
    <n v="30"/>
    <n v="19"/>
    <n v="22"/>
    <x v="3"/>
    <x v="4"/>
  </r>
  <r>
    <x v="31"/>
    <x v="102"/>
    <n v="1"/>
    <n v="60"/>
    <n v="42"/>
    <n v="18"/>
    <x v="3"/>
    <x v="4"/>
  </r>
  <r>
    <x v="31"/>
    <x v="16"/>
    <n v="2"/>
    <n v="320"/>
    <n v="290"/>
    <n v="60"/>
    <x v="3"/>
    <x v="4"/>
  </r>
  <r>
    <x v="31"/>
    <x v="125"/>
    <n v="3"/>
    <n v="60"/>
    <n v="51"/>
    <n v="27"/>
    <x v="3"/>
    <x v="4"/>
  </r>
  <r>
    <x v="31"/>
    <x v="17"/>
    <n v="2"/>
    <n v="90"/>
    <n v="78"/>
    <n v="24"/>
    <x v="3"/>
    <x v="4"/>
  </r>
  <r>
    <x v="31"/>
    <x v="126"/>
    <n v="1"/>
    <n v="50"/>
    <n v="34"/>
    <n v="16"/>
    <x v="3"/>
    <x v="4"/>
  </r>
  <r>
    <x v="31"/>
    <x v="102"/>
    <n v="1"/>
    <n v="60"/>
    <n v="42"/>
    <n v="18"/>
    <x v="3"/>
    <x v="4"/>
  </r>
  <r>
    <x v="32"/>
    <x v="127"/>
    <n v="1"/>
    <n v="1100"/>
    <n v="930"/>
    <n v="170"/>
    <x v="4"/>
    <x v="4"/>
  </r>
  <r>
    <x v="32"/>
    <x v="51"/>
    <n v="7"/>
    <n v="170"/>
    <n v="159"/>
    <n v="77"/>
    <x v="4"/>
    <x v="4"/>
  </r>
  <r>
    <x v="32"/>
    <x v="52"/>
    <n v="8"/>
    <n v="15"/>
    <n v="12.5"/>
    <n v="20"/>
    <x v="4"/>
    <x v="4"/>
  </r>
  <r>
    <x v="32"/>
    <x v="81"/>
    <n v="7"/>
    <n v="10"/>
    <n v="8.1"/>
    <n v="13.300000000000002"/>
    <x v="4"/>
    <x v="4"/>
  </r>
  <r>
    <x v="32"/>
    <x v="82"/>
    <n v="1"/>
    <n v="320"/>
    <n v="269"/>
    <n v="51"/>
    <x v="4"/>
    <x v="4"/>
  </r>
  <r>
    <x v="32"/>
    <x v="128"/>
    <n v="1"/>
    <n v="50"/>
    <n v="38"/>
    <n v="12"/>
    <x v="4"/>
    <x v="4"/>
  </r>
  <r>
    <x v="32"/>
    <x v="103"/>
    <n v="1"/>
    <n v="60"/>
    <n v="43"/>
    <n v="17"/>
    <x v="4"/>
    <x v="4"/>
  </r>
  <r>
    <x v="32"/>
    <x v="75"/>
    <n v="1"/>
    <n v="120"/>
    <n v="78"/>
    <n v="42"/>
    <x v="4"/>
    <x v="4"/>
  </r>
  <r>
    <x v="32"/>
    <x v="59"/>
    <n v="4"/>
    <n v="10"/>
    <n v="9.1999999999999993"/>
    <n v="3.2000000000000028"/>
    <x v="4"/>
    <x v="4"/>
  </r>
  <r>
    <x v="32"/>
    <x v="129"/>
    <n v="1"/>
    <n v="4900"/>
    <n v="4550"/>
    <n v="350"/>
    <x v="4"/>
    <x v="4"/>
  </r>
  <r>
    <x v="33"/>
    <x v="51"/>
    <n v="6"/>
    <n v="180"/>
    <n v="167"/>
    <n v="78"/>
    <x v="5"/>
    <x v="4"/>
  </r>
  <r>
    <x v="33"/>
    <x v="101"/>
    <n v="12"/>
    <n v="15"/>
    <n v="12.5"/>
    <n v="30"/>
    <x v="5"/>
    <x v="4"/>
  </r>
  <r>
    <x v="33"/>
    <x v="81"/>
    <n v="6"/>
    <n v="10"/>
    <n v="8.4"/>
    <n v="9.5999999999999979"/>
    <x v="5"/>
    <x v="4"/>
  </r>
  <r>
    <x v="33"/>
    <x v="102"/>
    <n v="2"/>
    <n v="40"/>
    <n v="31"/>
    <n v="18"/>
    <x v="5"/>
    <x v="4"/>
  </r>
  <r>
    <x v="33"/>
    <x v="16"/>
    <n v="4"/>
    <n v="325"/>
    <n v="297"/>
    <n v="112"/>
    <x v="5"/>
    <x v="4"/>
  </r>
  <r>
    <x v="33"/>
    <x v="18"/>
    <n v="6"/>
    <n v="60"/>
    <n v="52"/>
    <n v="48"/>
    <x v="5"/>
    <x v="4"/>
  </r>
  <r>
    <x v="33"/>
    <x v="130"/>
    <n v="15"/>
    <n v="10"/>
    <n v="7"/>
    <n v="45"/>
    <x v="5"/>
    <x v="4"/>
  </r>
  <r>
    <x v="33"/>
    <x v="30"/>
    <n v="2"/>
    <n v="60"/>
    <n v="42"/>
    <n v="36"/>
    <x v="5"/>
    <x v="4"/>
  </r>
  <r>
    <x v="34"/>
    <x v="51"/>
    <n v="20"/>
    <n v="160"/>
    <n v="149.5"/>
    <n v="210"/>
    <x v="6"/>
    <x v="4"/>
  </r>
  <r>
    <x v="34"/>
    <x v="81"/>
    <n v="30"/>
    <n v="10"/>
    <n v="8.1"/>
    <n v="57.000000000000014"/>
    <x v="6"/>
    <x v="4"/>
  </r>
  <r>
    <x v="34"/>
    <x v="52"/>
    <n v="6"/>
    <n v="14"/>
    <n v="12.5"/>
    <n v="9"/>
    <x v="6"/>
    <x v="4"/>
  </r>
  <r>
    <x v="34"/>
    <x v="0"/>
    <n v="12"/>
    <n v="270"/>
    <n v="257"/>
    <n v="156"/>
    <x v="6"/>
    <x v="4"/>
  </r>
  <r>
    <x v="34"/>
    <x v="29"/>
    <n v="15"/>
    <n v="25"/>
    <n v="22.25"/>
    <n v="41.25"/>
    <x v="6"/>
    <x v="4"/>
  </r>
  <r>
    <x v="34"/>
    <x v="28"/>
    <n v="6"/>
    <n v="35"/>
    <n v="29"/>
    <n v="36"/>
    <x v="6"/>
    <x v="4"/>
  </r>
  <r>
    <x v="34"/>
    <x v="108"/>
    <n v="1"/>
    <n v="530"/>
    <n v="466"/>
    <n v="64"/>
    <x v="6"/>
    <x v="4"/>
  </r>
  <r>
    <x v="34"/>
    <x v="109"/>
    <n v="1"/>
    <n v="120"/>
    <n v="89"/>
    <n v="31"/>
    <x v="6"/>
    <x v="4"/>
  </r>
  <r>
    <x v="34"/>
    <x v="54"/>
    <n v="2"/>
    <n v="250"/>
    <n v="210"/>
    <n v="80"/>
    <x v="6"/>
    <x v="4"/>
  </r>
  <r>
    <x v="34"/>
    <x v="59"/>
    <n v="5"/>
    <n v="10"/>
    <n v="9.1999999999999993"/>
    <n v="4.0000000000000036"/>
    <x v="6"/>
    <x v="4"/>
  </r>
  <r>
    <x v="35"/>
    <x v="9"/>
    <n v="4"/>
    <n v="550"/>
    <n v="523"/>
    <n v="108"/>
    <x v="0"/>
    <x v="5"/>
  </r>
  <r>
    <x v="35"/>
    <x v="131"/>
    <n v="6"/>
    <n v="110"/>
    <n v="91"/>
    <n v="114"/>
    <x v="0"/>
    <x v="5"/>
  </r>
  <r>
    <x v="35"/>
    <x v="92"/>
    <n v="2"/>
    <n v="210"/>
    <n v="185"/>
    <n v="50"/>
    <x v="0"/>
    <x v="5"/>
  </r>
  <r>
    <x v="35"/>
    <x v="93"/>
    <n v="2"/>
    <n v="110"/>
    <n v="90"/>
    <n v="40"/>
    <x v="0"/>
    <x v="5"/>
  </r>
  <r>
    <x v="35"/>
    <x v="132"/>
    <n v="1"/>
    <n v="1200"/>
    <n v="980"/>
    <n v="220"/>
    <x v="0"/>
    <x v="5"/>
  </r>
  <r>
    <x v="35"/>
    <x v="37"/>
    <n v="1"/>
    <n v="360"/>
    <n v="320"/>
    <n v="40"/>
    <x v="0"/>
    <x v="5"/>
  </r>
  <r>
    <x v="35"/>
    <x v="54"/>
    <n v="2"/>
    <n v="260"/>
    <n v="192"/>
    <n v="136"/>
    <x v="0"/>
    <x v="5"/>
  </r>
  <r>
    <x v="35"/>
    <x v="133"/>
    <n v="1"/>
    <n v="140"/>
    <n v="119"/>
    <n v="21"/>
    <x v="0"/>
    <x v="5"/>
  </r>
  <r>
    <x v="35"/>
    <x v="134"/>
    <n v="2"/>
    <n v="60"/>
    <n v="33"/>
    <n v="54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2B841-6653-4101-B413-D6191E362FD4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4:F12" firstHeaderRow="1" firstDataRow="1" firstDataCol="1" rowPageCount="1" colPageCount="1"/>
  <pivotFields count="8">
    <pivotField axis="axisRow" compact="0" outline="0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showAll="0">
      <items count="8">
        <item x="0"/>
        <item h="1" x="1"/>
        <item h="1" m="1" x="6"/>
        <item h="1" x="2"/>
        <item h="1" x="3"/>
        <item h="1" x="4"/>
        <item h="1" x="5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7" item="0" hier="-1"/>
  </pageFields>
  <dataFields count="1">
    <dataField name="Daily Profit" fld="5" baseField="0" baseItem="0" numFmtId="164"/>
  </dataFields>
  <formats count="67">
    <format dxfId="168">
      <pivotArea field="6" type="button" dataOnly="0" labelOnly="1" outline="0"/>
    </format>
    <format dxfId="169">
      <pivotArea dataOnly="0" labelOnly="1" outline="0" axis="axisValues" fieldPosition="0"/>
    </format>
    <format dxfId="170">
      <pivotArea field="6" type="button" dataOnly="0" labelOnly="1" outline="0"/>
    </format>
    <format dxfId="171">
      <pivotArea dataOnly="0" labelOnly="1" outline="0" axis="axisValues" fieldPosition="0"/>
    </format>
    <format dxfId="172">
      <pivotArea field="6" type="button" dataOnly="0" labelOnly="1" outline="0"/>
    </format>
    <format dxfId="173">
      <pivotArea dataOnly="0" labelOnly="1" outline="0" axis="axisValues" fieldPosition="0"/>
    </format>
    <format dxfId="174">
      <pivotArea dataOnly="0" labelOnly="1" outline="0" axis="axisValues" fieldPosition="0"/>
    </format>
    <format dxfId="175">
      <pivotArea field="6" type="button" dataOnly="0" labelOnly="1" outline="0"/>
    </format>
    <format dxfId="176">
      <pivotArea dataOnly="0" labelOnly="1" outline="0" axis="axisValues" fieldPosition="0"/>
    </format>
    <format dxfId="177">
      <pivotArea dataOnly="0" labelOnly="1" outline="0" axis="axisValues" fieldPosition="0"/>
    </format>
    <format dxfId="178">
      <pivotArea outline="0" collapsedLevelsAreSubtotals="1" fieldPosition="0"/>
    </format>
    <format dxfId="179">
      <pivotArea dataOnly="0" labelOnly="1" grandRow="1" outline="0" fieldPosition="0"/>
    </format>
    <format dxfId="180">
      <pivotArea outline="0" collapsedLevelsAreSubtotals="1" fieldPosition="0"/>
    </format>
    <format dxfId="181">
      <pivotArea dataOnly="0" labelOnly="1" grandRow="1" outline="0" fieldPosition="0"/>
    </format>
    <format dxfId="182">
      <pivotArea outline="0" collapsedLevelsAreSubtotals="1" fieldPosition="0"/>
    </format>
    <format dxfId="183">
      <pivotArea dataOnly="0" labelOnly="1" grandRow="1" outline="0" fieldPosition="0"/>
    </format>
    <format dxfId="184">
      <pivotArea outline="0" collapsedLevelsAreSubtotals="1" fieldPosition="0"/>
    </format>
    <format dxfId="185">
      <pivotArea dataOnly="0" labelOnly="1" grandRow="1" outline="0" fieldPosition="0"/>
    </format>
    <format dxfId="186">
      <pivotArea outline="0" collapsedLevelsAreSubtotals="1" fieldPosition="0"/>
    </format>
    <format dxfId="187">
      <pivotArea dataOnly="0" labelOnly="1" grandRow="1" outline="0" fieldPosition="0"/>
    </format>
    <format dxfId="188">
      <pivotArea outline="0" collapsedLevelsAreSubtotals="1" fieldPosition="0"/>
    </format>
    <format dxfId="189">
      <pivotArea dataOnly="0" labelOnly="1" grandRow="1" outline="0" fieldPosition="0"/>
    </format>
    <format dxfId="190">
      <pivotArea outline="0" collapsedLevelsAreSubtotals="1" fieldPosition="0"/>
    </format>
    <format dxfId="191">
      <pivotArea dataOnly="0" labelOnly="1" grandRow="1" outline="0" fieldPosition="0"/>
    </format>
    <format dxfId="192">
      <pivotArea outline="0" collapsedLevelsAreSubtotals="1" fieldPosition="0"/>
    </format>
    <format dxfId="193">
      <pivotArea dataOnly="0" labelOnly="1" grandRow="1" outline="0" fieldPosition="0"/>
    </format>
    <format dxfId="194">
      <pivotArea outline="0" collapsedLevelsAreSubtotals="1" fieldPosition="0"/>
    </format>
    <format dxfId="195">
      <pivotArea outline="0" collapsedLevelsAreSubtotals="1" fieldPosition="0"/>
    </format>
    <format dxfId="196">
      <pivotArea outline="0" collapsedLevelsAreSubtotals="1" fieldPosition="0"/>
    </format>
    <format dxfId="197">
      <pivotArea outline="0" collapsedLevelsAreSubtotals="1" fieldPosition="0"/>
    </format>
    <format dxfId="198">
      <pivotArea outline="0" collapsedLevelsAreSubtotals="1" fieldPosition="0"/>
    </format>
    <format dxfId="199">
      <pivotArea outline="0" collapsedLevelsAreSubtotals="1" fieldPosition="0"/>
    </format>
    <format dxfId="200">
      <pivotArea outline="0" collapsedLevelsAreSubtotals="1" fieldPosition="0"/>
    </format>
    <format dxfId="201">
      <pivotArea outline="0" collapsedLevelsAreSubtotals="1" fieldPosition="0"/>
    </format>
    <format dxfId="202">
      <pivotArea outline="0" collapsedLevelsAreSubtotals="1" fieldPosition="0"/>
    </format>
    <format dxfId="203">
      <pivotArea outline="0" collapsedLevelsAreSubtotals="1" fieldPosition="0"/>
    </format>
    <format dxfId="204">
      <pivotArea outline="0" collapsedLevelsAreSubtotals="1" fieldPosition="0"/>
    </format>
    <format dxfId="205">
      <pivotArea outline="0" collapsedLevelsAreSubtotals="1" fieldPosition="0"/>
    </format>
    <format dxfId="206">
      <pivotArea outline="0" collapsedLevelsAreSubtotals="1" fieldPosition="0"/>
    </format>
    <format dxfId="207">
      <pivotArea dataOnly="0" labelOnly="1" outline="0" axis="axisValues" fieldPosition="0"/>
    </format>
    <format dxfId="208">
      <pivotArea dataOnly="0" labelOnly="1" outline="0" axis="axisValues" fieldPosition="0"/>
    </format>
    <format dxfId="209">
      <pivotArea outline="0" collapsedLevelsAreSubtotals="1" fieldPosition="0"/>
    </format>
    <format dxfId="210">
      <pivotArea dataOnly="0" labelOnly="1" grandRow="1" outline="0" fieldPosition="0"/>
    </format>
    <format dxfId="211">
      <pivotArea type="all" dataOnly="0" outline="0" fieldPosition="0"/>
    </format>
    <format dxfId="212">
      <pivotArea outline="0" collapsedLevelsAreSubtotals="1" fieldPosition="0"/>
    </format>
    <format dxfId="213">
      <pivotArea field="6" type="button" dataOnly="0" labelOnly="1" outline="0"/>
    </format>
    <format dxfId="214">
      <pivotArea dataOnly="0" labelOnly="1" grandRow="1" outline="0" fieldPosition="0"/>
    </format>
    <format dxfId="215">
      <pivotArea dataOnly="0" labelOnly="1" outline="0" axis="axisValues" fieldPosition="0"/>
    </format>
    <format dxfId="216">
      <pivotArea dataOnly="0" labelOnly="1" outline="0" axis="axisValues" fieldPosition="0"/>
    </format>
    <format dxfId="217">
      <pivotArea dataOnly="0" labelOnly="1" outline="0" axis="axisValues" fieldPosition="0"/>
    </format>
    <format dxfId="218">
      <pivotArea dataOnly="0" labelOnly="1" outline="0" axis="axisValues" fieldPosition="0"/>
    </format>
    <format dxfId="219">
      <pivotArea dataOnly="0" labelOnly="1" outline="0" axis="axisValues" fieldPosition="0"/>
    </format>
    <format dxfId="220">
      <pivotArea grandRow="1" outline="0" collapsedLevelsAreSubtotals="1" fieldPosition="0"/>
    </format>
    <format dxfId="221">
      <pivotArea grandRow="1" outline="0" collapsedLevelsAreSubtotals="1" fieldPosition="0"/>
    </format>
    <format dxfId="222">
      <pivotArea dataOnly="0" labelOnly="1" outline="0" axis="axisValues" fieldPosition="0"/>
    </format>
    <format dxfId="223">
      <pivotArea dataOnly="0" labelOnly="1" outline="0" axis="axisValues" fieldPosition="0"/>
    </format>
    <format dxfId="224">
      <pivotArea dataOnly="0" labelOnly="1" outline="0" axis="axisValues" fieldPosition="0"/>
    </format>
    <format dxfId="225">
      <pivotArea dataOnly="0" labelOnly="1" outline="0" fieldPosition="0">
        <references count="1">
          <reference field="0" count="7">
            <x v="0"/>
            <x v="1"/>
            <x v="2"/>
            <x v="3"/>
            <x v="4"/>
            <x v="5"/>
            <x v="6"/>
          </reference>
        </references>
      </pivotArea>
    </format>
    <format dxfId="226">
      <pivotArea field="0" type="button" dataOnly="0" labelOnly="1" outline="0" axis="axisRow" fieldPosition="0"/>
    </format>
    <format dxfId="227">
      <pivotArea dataOnly="0" labelOnly="1" outline="0" axis="axisValues" fieldPosition="0"/>
    </format>
    <format dxfId="228">
      <pivotArea dataOnly="0" labelOnly="1" outline="0" axis="axisValues" fieldPosition="0"/>
    </format>
    <format dxfId="229">
      <pivotArea dataOnly="0" labelOnly="1" outline="0" axis="axisValues" fieldPosition="0"/>
    </format>
    <format dxfId="230">
      <pivotArea dataOnly="0" labelOnly="1" outline="0" axis="axisValues" fieldPosition="0"/>
    </format>
    <format dxfId="231">
      <pivotArea dataOnly="0" labelOnly="1" outline="0" axis="axisValues" fieldPosition="0"/>
    </format>
    <format dxfId="232">
      <pivotArea dataOnly="0" labelOnly="1" outline="0" axis="axisValues" fieldPosition="0"/>
    </format>
    <format dxfId="233">
      <pivotArea dataOnly="0" labelOnly="1" outline="0" axis="axisValues" fieldPosition="0"/>
    </format>
    <format dxfId="23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6BD25-FB00-4E73-B338-12E63E2BFB3F}" name="PivotTable3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X4:Y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137">
        <item x="2"/>
        <item x="29"/>
        <item x="28"/>
        <item x="0"/>
        <item x="38"/>
        <item x="36"/>
        <item x="26"/>
        <item x="39"/>
        <item x="40"/>
        <item x="18"/>
        <item x="8"/>
        <item x="17"/>
        <item x="21"/>
        <item x="20"/>
        <item x="16"/>
        <item x="19"/>
        <item x="41"/>
        <item x="42"/>
        <item x="11"/>
        <item x="34"/>
        <item x="10"/>
        <item x="9"/>
        <item x="12"/>
        <item x="37"/>
        <item x="22"/>
        <item x="5"/>
        <item x="23"/>
        <item x="33"/>
        <item x="32"/>
        <item x="3"/>
        <item x="35"/>
        <item x="1"/>
        <item x="14"/>
        <item x="44"/>
        <item x="31"/>
        <item x="6"/>
        <item x="30"/>
        <item x="4"/>
        <item x="13"/>
        <item x="24"/>
        <item x="43"/>
        <item x="15"/>
        <item x="7"/>
        <item x="25"/>
        <item x="27"/>
        <item m="1" x="135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Page" compact="0" outline="0" showAll="0">
      <items count="8">
        <item x="0"/>
        <item h="1" x="1"/>
        <item h="1" m="1" x="6"/>
        <item h="1" x="2"/>
        <item h="1" x="3"/>
        <item h="1" x="4"/>
        <item h="1" x="5"/>
        <item t="default"/>
      </items>
    </pivotField>
  </pivotFields>
  <rowFields count="1">
    <field x="1"/>
  </rowFields>
  <rowItems count="46">
    <i>
      <x v="19"/>
    </i>
    <i>
      <x v="34"/>
    </i>
    <i>
      <x v="2"/>
    </i>
    <i>
      <x v="3"/>
    </i>
    <i>
      <x v="42"/>
    </i>
    <i>
      <x v="37"/>
    </i>
    <i>
      <x v="25"/>
    </i>
    <i>
      <x v="1"/>
    </i>
    <i>
      <x v="32"/>
    </i>
    <i>
      <x v="9"/>
    </i>
    <i>
      <x v="20"/>
    </i>
    <i>
      <x v="13"/>
    </i>
    <i>
      <x v="21"/>
    </i>
    <i>
      <x v="11"/>
    </i>
    <i>
      <x v="18"/>
    </i>
    <i>
      <x v="38"/>
    </i>
    <i>
      <x v="6"/>
    </i>
    <i>
      <x v="10"/>
    </i>
    <i>
      <x v="40"/>
    </i>
    <i>
      <x v="41"/>
    </i>
    <i>
      <x v="33"/>
    </i>
    <i>
      <x v="5"/>
    </i>
    <i>
      <x v="27"/>
    </i>
    <i>
      <x v="29"/>
    </i>
    <i>
      <x v="39"/>
    </i>
    <i>
      <x v="17"/>
    </i>
    <i>
      <x v="43"/>
    </i>
    <i>
      <x v="12"/>
    </i>
    <i>
      <x v="26"/>
    </i>
    <i>
      <x v="24"/>
    </i>
    <i>
      <x/>
    </i>
    <i>
      <x v="44"/>
    </i>
    <i>
      <x v="15"/>
    </i>
    <i>
      <x v="36"/>
    </i>
    <i>
      <x v="14"/>
    </i>
    <i>
      <x v="30"/>
    </i>
    <i>
      <x v="22"/>
    </i>
    <i>
      <x v="28"/>
    </i>
    <i>
      <x v="8"/>
    </i>
    <i>
      <x v="7"/>
    </i>
    <i>
      <x v="4"/>
    </i>
    <i>
      <x v="35"/>
    </i>
    <i>
      <x v="31"/>
    </i>
    <i>
      <x v="23"/>
    </i>
    <i>
      <x v="16"/>
    </i>
    <i t="grand">
      <x/>
    </i>
  </rowItems>
  <colItems count="1">
    <i/>
  </colItems>
  <pageFields count="1">
    <pageField fld="7" item="0" hier="-1"/>
  </pageFields>
  <dataFields count="1">
    <dataField name="Units Sold" fld="2" baseField="0" baseItem="0"/>
  </dataFields>
  <formats count="13">
    <format dxfId="155">
      <pivotArea outline="0" fieldPosition="0">
        <references count="1">
          <reference field="1" count="1" selected="0">
            <x v="19"/>
          </reference>
        </references>
      </pivotArea>
    </format>
    <format dxfId="156">
      <pivotArea outline="0" fieldPosition="0">
        <references count="1">
          <reference field="1" count="1" selected="0">
            <x v="19"/>
          </reference>
        </references>
      </pivotArea>
    </format>
    <format dxfId="157">
      <pivotArea outline="0" fieldPosition="0">
        <references count="1">
          <reference field="1" count="1" selected="0">
            <x v="19"/>
          </reference>
        </references>
      </pivotArea>
    </format>
    <format dxfId="158">
      <pivotArea outline="0" fieldPosition="0">
        <references count="1">
          <reference field="1" count="1" selected="0">
            <x v="19"/>
          </reference>
        </references>
      </pivotArea>
    </format>
    <format dxfId="159">
      <pivotArea outline="0" fieldPosition="0">
        <references count="1">
          <reference field="1" count="1" selected="0">
            <x v="19"/>
          </reference>
        </references>
      </pivotArea>
    </format>
    <format dxfId="160">
      <pivotArea outline="0" fieldPosition="0">
        <references count="1">
          <reference field="1" count="1" selected="0">
            <x v="19"/>
          </reference>
        </references>
      </pivotArea>
    </format>
    <format dxfId="161">
      <pivotArea outline="0" fieldPosition="0">
        <references count="1">
          <reference field="1" count="1" selected="0">
            <x v="19"/>
          </reference>
        </references>
      </pivotArea>
    </format>
    <format dxfId="162">
      <pivotArea type="all" dataOnly="0" outline="0" fieldPosition="0"/>
    </format>
    <format dxfId="163">
      <pivotArea outline="0" collapsedLevelsAreSubtotals="1" fieldPosition="0"/>
    </format>
    <format dxfId="164">
      <pivotArea field="1" type="button" dataOnly="0" labelOnly="1" outline="0" axis="axisRow" fieldPosition="0"/>
    </format>
    <format dxfId="165">
      <pivotArea dataOnly="0" labelOnly="1" outline="0" fieldPosition="0">
        <references count="1">
          <reference field="1" count="4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166">
      <pivotArea dataOnly="0" labelOnly="1" grandRow="1" outline="0" fieldPosition="0"/>
    </format>
    <format dxfId="16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95C2F-DAB4-4D2B-A2CF-5F25566AB21A}" name="PivotTable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4:O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137">
        <item m="1" x="135"/>
        <item x="27"/>
        <item x="25"/>
        <item x="7"/>
        <item x="15"/>
        <item x="43"/>
        <item x="24"/>
        <item x="13"/>
        <item x="4"/>
        <item x="30"/>
        <item x="6"/>
        <item x="31"/>
        <item x="44"/>
        <item x="14"/>
        <item x="1"/>
        <item x="35"/>
        <item x="3"/>
        <item x="32"/>
        <item x="33"/>
        <item x="23"/>
        <item x="5"/>
        <item x="22"/>
        <item x="37"/>
        <item x="12"/>
        <item x="9"/>
        <item x="10"/>
        <item x="34"/>
        <item x="11"/>
        <item x="42"/>
        <item x="41"/>
        <item x="19"/>
        <item x="16"/>
        <item x="20"/>
        <item x="21"/>
        <item x="17"/>
        <item x="8"/>
        <item x="18"/>
        <item x="40"/>
        <item x="39"/>
        <item x="26"/>
        <item x="36"/>
        <item x="38"/>
        <item x="0"/>
        <item x="28"/>
        <item x="29"/>
        <item x="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8">
        <item x="0"/>
        <item h="1" x="1"/>
        <item h="1" m="1" x="6"/>
        <item h="1" x="2"/>
        <item h="1" x="3"/>
        <item h="1" x="4"/>
        <item h="1" x="5"/>
        <item t="default"/>
      </items>
    </pivotField>
  </pivotFields>
  <rowFields count="1">
    <field x="1"/>
  </rowFields>
  <rowItems count="46">
    <i>
      <x v="16"/>
    </i>
    <i>
      <x v="4"/>
    </i>
    <i>
      <x v="6"/>
    </i>
    <i>
      <x v="42"/>
    </i>
    <i>
      <x v="17"/>
    </i>
    <i>
      <x v="24"/>
    </i>
    <i>
      <x v="3"/>
    </i>
    <i>
      <x v="14"/>
    </i>
    <i>
      <x v="43"/>
    </i>
    <i>
      <x v="39"/>
    </i>
    <i>
      <x v="19"/>
    </i>
    <i>
      <x v="27"/>
    </i>
    <i>
      <x v="9"/>
    </i>
    <i>
      <x v="15"/>
    </i>
    <i>
      <x v="25"/>
    </i>
    <i>
      <x v="29"/>
    </i>
    <i>
      <x v="10"/>
    </i>
    <i>
      <x v="31"/>
    </i>
    <i>
      <x v="8"/>
    </i>
    <i>
      <x v="34"/>
    </i>
    <i>
      <x v="40"/>
    </i>
    <i>
      <x v="45"/>
    </i>
    <i>
      <x v="11"/>
    </i>
    <i>
      <x v="36"/>
    </i>
    <i>
      <x v="21"/>
    </i>
    <i>
      <x v="38"/>
    </i>
    <i>
      <x v="22"/>
    </i>
    <i>
      <x v="2"/>
    </i>
    <i>
      <x v="37"/>
    </i>
    <i>
      <x v="30"/>
    </i>
    <i>
      <x v="33"/>
    </i>
    <i>
      <x v="18"/>
    </i>
    <i>
      <x v="23"/>
    </i>
    <i>
      <x v="7"/>
    </i>
    <i>
      <x v="1"/>
    </i>
    <i>
      <x v="44"/>
    </i>
    <i>
      <x v="32"/>
    </i>
    <i>
      <x v="41"/>
    </i>
    <i>
      <x v="26"/>
    </i>
    <i>
      <x v="28"/>
    </i>
    <i>
      <x v="13"/>
    </i>
    <i>
      <x v="12"/>
    </i>
    <i>
      <x v="35"/>
    </i>
    <i>
      <x v="5"/>
    </i>
    <i>
      <x v="20"/>
    </i>
    <i t="grand">
      <x/>
    </i>
  </rowItems>
  <colItems count="1">
    <i/>
  </colItems>
  <pageFields count="1">
    <pageField fld="7" item="0" hier="-1"/>
  </pageFields>
  <dataFields count="1">
    <dataField name="Total Profit" fld="5" baseField="0" baseItem="0" numFmtId="164"/>
  </dataFields>
  <formats count="70">
    <format dxfId="85">
      <pivotArea grandRow="1" outline="0" collapsedLevelsAreSubtotals="1" fieldPosition="0"/>
    </format>
    <format dxfId="86">
      <pivotArea grandRow="1" outline="0" collapsedLevelsAreSubtotals="1" fieldPosition="0"/>
    </format>
    <format dxfId="87">
      <pivotArea grandRow="1" outline="0" collapsedLevelsAreSubtotals="1" fieldPosition="0"/>
    </format>
    <format dxfId="88">
      <pivotArea grandRow="1" outline="0" collapsedLevelsAreSubtotals="1" fieldPosition="0"/>
    </format>
    <format dxfId="89">
      <pivotArea outline="0" collapsedLevelsAreSubtotals="1" fieldPosition="0"/>
    </format>
    <format dxfId="90">
      <pivotArea outline="0" collapsedLevelsAreSubtotals="1" fieldPosition="0"/>
    </format>
    <format dxfId="91">
      <pivotArea outline="0" collapsedLevelsAreSubtotals="1" fieldPosition="0"/>
    </format>
    <format dxfId="92">
      <pivotArea outline="0" collapsedLevelsAreSubtotals="1" fieldPosition="0"/>
    </format>
    <format dxfId="93">
      <pivotArea outline="0" collapsedLevelsAreSubtotals="1" fieldPosition="0"/>
    </format>
    <format dxfId="94">
      <pivotArea outline="0" collapsedLevelsAreSubtotals="1" fieldPosition="0"/>
    </format>
    <format dxfId="95">
      <pivotArea outline="0" collapsedLevelsAreSubtotals="1" fieldPosition="0"/>
    </format>
    <format dxfId="96">
      <pivotArea outline="0" collapsedLevelsAreSubtotals="1" fieldPosition="0"/>
    </format>
    <format dxfId="97">
      <pivotArea outline="0" collapsedLevelsAreSubtotals="1" fieldPosition="0"/>
    </format>
    <format dxfId="98">
      <pivotArea outline="0" collapsedLevelsAreSubtotals="1" fieldPosition="0"/>
    </format>
    <format dxfId="99">
      <pivotArea outline="0" collapsedLevelsAreSubtotals="1" fieldPosition="0"/>
    </format>
    <format dxfId="100">
      <pivotArea outline="0" collapsedLevelsAreSubtotals="1" fieldPosition="0"/>
    </format>
    <format dxfId="101">
      <pivotArea grandRow="1" outline="0" collapsedLevelsAreSubtotals="1" fieldPosition="0"/>
    </format>
    <format dxfId="102">
      <pivotArea grandRow="1" outline="0" collapsedLevelsAreSubtotals="1" fieldPosition="0"/>
    </format>
    <format dxfId="103">
      <pivotArea dataOnly="0" labelOnly="1" outline="0" axis="axisValues" fieldPosition="0"/>
    </format>
    <format dxfId="104">
      <pivotArea dataOnly="0" labelOnly="1" outline="0" axis="axisValues" fieldPosition="0"/>
    </format>
    <format dxfId="105">
      <pivotArea outline="0" collapsedLevelsAreSubtotals="1" fieldPosition="0"/>
    </format>
    <format dxfId="106">
      <pivotArea dataOnly="0" labelOnly="1" outline="0" fieldPosition="0">
        <references count="1">
          <reference field="7" count="1">
            <x v="0"/>
          </reference>
        </references>
      </pivotArea>
    </format>
    <format dxfId="107">
      <pivotArea dataOnly="0" labelOnly="1" outline="0" axis="axisValues" fieldPosition="0"/>
    </format>
    <format dxfId="108">
      <pivotArea outline="0" collapsedLevelsAreSubtotals="1" fieldPosition="0"/>
    </format>
    <format dxfId="109">
      <pivotArea dataOnly="0" labelOnly="1" outline="0" fieldPosition="0">
        <references count="1">
          <reference field="7" count="1">
            <x v="0"/>
          </reference>
        </references>
      </pivotArea>
    </format>
    <format dxfId="110">
      <pivotArea dataOnly="0" labelOnly="1" outline="0" axis="axisValues" fieldPosition="0"/>
    </format>
    <format dxfId="111">
      <pivotArea type="all" dataOnly="0" outline="0" fieldPosition="0"/>
    </format>
    <format dxfId="112">
      <pivotArea outline="0" collapsedLevelsAreSubtotals="1" fieldPosition="0"/>
    </format>
    <format dxfId="113">
      <pivotArea field="1" type="button" dataOnly="0" labelOnly="1" outline="0" axis="axisRow" fieldPosition="0"/>
    </format>
    <format dxfId="114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5">
      <pivotArea dataOnly="0" labelOnly="1" grandRow="1" outline="0" fieldPosition="0"/>
    </format>
    <format dxfId="116">
      <pivotArea dataOnly="0" labelOnly="1" outline="0" axis="axisValues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field="1" type="button" dataOnly="0" labelOnly="1" outline="0" axis="axisRow" fieldPosition="0"/>
    </format>
    <format dxfId="120">
      <pivotArea dataOnly="0" labelOnly="1" outline="0" axis="axisValues" fieldPosition="0"/>
    </format>
    <format dxfId="121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22">
      <pivotArea dataOnly="0" labelOnly="1" grandRow="1" outline="0" fieldPosition="0"/>
    </format>
    <format dxfId="123">
      <pivotArea dataOnly="0" labelOnly="1" outline="0" axis="axisValues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1" type="button" dataOnly="0" labelOnly="1" outline="0" axis="axisRow" fieldPosition="0"/>
    </format>
    <format dxfId="127">
      <pivotArea dataOnly="0" labelOnly="1" outline="0" axis="axisValues" fieldPosition="0"/>
    </format>
    <format dxfId="128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29">
      <pivotArea dataOnly="0" labelOnly="1" grandRow="1" outline="0" fieldPosition="0"/>
    </format>
    <format dxfId="130">
      <pivotArea dataOnly="0" labelOnly="1" outline="0" axis="axisValues" fieldPosition="0"/>
    </format>
    <format dxfId="13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5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6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7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8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39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0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5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6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7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8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49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50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5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5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5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5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CE9CB-6B48-43BD-825C-25717F612DCC}" name="PivotTable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4:O5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45"/>
        <item x="61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52"/>
        <item x="51"/>
        <item x="55"/>
        <item x="53"/>
        <item x="63"/>
        <item x="42"/>
        <item x="11"/>
        <item x="34"/>
        <item x="10"/>
        <item x="9"/>
        <item x="12"/>
        <item x="71"/>
        <item x="37"/>
        <item x="73"/>
        <item x="22"/>
        <item x="5"/>
        <item x="23"/>
        <item x="33"/>
        <item x="32"/>
        <item x="57"/>
        <item x="3"/>
        <item x="79"/>
        <item x="35"/>
        <item x="1"/>
        <item x="14"/>
        <item x="49"/>
        <item x="44"/>
        <item x="48"/>
        <item x="31"/>
        <item x="50"/>
        <item x="72"/>
        <item x="6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25"/>
        <item x="27"/>
        <item m="1" x="135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x="1"/>
        <item m="1" x="6"/>
        <item h="1" x="2"/>
        <item h="1" x="3"/>
        <item h="1" x="4"/>
        <item h="1" x="5"/>
        <item t="default"/>
      </items>
    </pivotField>
  </pivotFields>
  <rowFields count="1">
    <field x="1"/>
  </rowFields>
  <rowItems count="51">
    <i>
      <x v="31"/>
    </i>
    <i>
      <x v="42"/>
    </i>
    <i>
      <x v="6"/>
    </i>
    <i>
      <x v="4"/>
    </i>
    <i>
      <x v="34"/>
    </i>
    <i>
      <x/>
    </i>
    <i>
      <x v="63"/>
    </i>
    <i>
      <x v="50"/>
    </i>
    <i>
      <x v="77"/>
    </i>
    <i>
      <x v="72"/>
    </i>
    <i>
      <x v="35"/>
    </i>
    <i>
      <x v="66"/>
    </i>
    <i>
      <x v="73"/>
    </i>
    <i>
      <x v="76"/>
    </i>
    <i>
      <x v="44"/>
    </i>
    <i>
      <x v="12"/>
    </i>
    <i>
      <x v="52"/>
    </i>
    <i>
      <x v="13"/>
    </i>
    <i>
      <x v="19"/>
    </i>
    <i>
      <x v="40"/>
    </i>
    <i>
      <x v="8"/>
    </i>
    <i>
      <x v="15"/>
    </i>
    <i>
      <x v="27"/>
    </i>
    <i>
      <x v="33"/>
    </i>
    <i>
      <x v="46"/>
    </i>
    <i>
      <x v="23"/>
    </i>
    <i>
      <x v="3"/>
    </i>
    <i>
      <x v="69"/>
    </i>
    <i>
      <x v="60"/>
    </i>
    <i>
      <x v="26"/>
    </i>
    <i>
      <x v="29"/>
    </i>
    <i>
      <x v="39"/>
    </i>
    <i>
      <x v="37"/>
    </i>
    <i>
      <x v="75"/>
    </i>
    <i>
      <x v="43"/>
    </i>
    <i>
      <x v="24"/>
    </i>
    <i>
      <x v="11"/>
    </i>
    <i>
      <x v="1"/>
    </i>
    <i>
      <x v="36"/>
    </i>
    <i>
      <x v="62"/>
    </i>
    <i>
      <x v="30"/>
    </i>
    <i>
      <x v="5"/>
    </i>
    <i>
      <x v="7"/>
    </i>
    <i>
      <x v="58"/>
    </i>
    <i>
      <x v="54"/>
    </i>
    <i>
      <x v="78"/>
    </i>
    <i>
      <x v="9"/>
    </i>
    <i>
      <x v="20"/>
    </i>
    <i>
      <x v="2"/>
    </i>
    <i>
      <x v="68"/>
    </i>
    <i t="grand">
      <x/>
    </i>
  </rowItems>
  <colItems count="1">
    <i/>
  </colItems>
  <pageFields count="1">
    <pageField fld="7" item="1" hier="-1"/>
  </pageFields>
  <dataFields count="1">
    <dataField name="Total Profit" fld="5" baseField="0" baseItem="0" numFmtId="164"/>
  </dataFields>
  <formats count="6"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1" type="button" dataOnly="0" labelOnly="1" outline="0" axis="axisRow" fieldPosition="0"/>
    </format>
    <format dxfId="82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9"/>
            <x v="20"/>
            <x v="23"/>
            <x v="24"/>
            <x v="26"/>
            <x v="27"/>
            <x v="29"/>
            <x v="30"/>
            <x v="31"/>
            <x v="33"/>
            <x v="34"/>
            <x v="35"/>
            <x v="36"/>
            <x v="37"/>
            <x v="39"/>
            <x v="40"/>
            <x v="42"/>
            <x v="43"/>
            <x v="44"/>
            <x v="46"/>
            <x v="50"/>
            <x v="52"/>
            <x v="54"/>
            <x v="58"/>
            <x v="60"/>
            <x v="62"/>
            <x v="63"/>
            <x v="66"/>
            <x v="68"/>
            <x v="69"/>
            <x v="72"/>
            <x v="73"/>
            <x v="75"/>
            <x v="76"/>
            <x v="77"/>
            <x v="78"/>
          </reference>
        </references>
      </pivotArea>
    </format>
    <format dxfId="83">
      <pivotArea dataOnly="0" labelOnly="1" grandRow="1" outline="0" fieldPosition="0"/>
    </format>
    <format dxfId="8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8B3FE-6C4C-4DC5-8066-CB31A8088DE5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4:F12" firstHeaderRow="1" firstDataRow="1" firstDataCol="1" rowPageCount="1" colPageCount="1"/>
  <pivotFields count="8">
    <pivotField axis="axisRow" compact="0" outline="0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x="1"/>
        <item m="1" x="6"/>
        <item h="1" x="2"/>
        <item h="1" x="3"/>
        <item h="1" x="4"/>
        <item h="1" x="5"/>
        <item t="default"/>
      </items>
    </pivotField>
  </pivotFields>
  <rowFields count="1">
    <field x="0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7" item="1" hier="-1"/>
  </pageFields>
  <dataFields count="1">
    <dataField name="Daily Profit" fld="5" baseField="0" baseItem="0" numFmtId="164"/>
  </dataFields>
  <formats count="6"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0" type="button" dataOnly="0" labelOnly="1" outline="0" axis="axisRow" fieldPosition="0"/>
    </format>
    <format dxfId="76">
      <pivotArea dataOnly="0" labelOnly="1" outline="0" fieldPosition="0">
        <references count="1">
          <reference field="0" count="7">
            <x v="7"/>
            <x v="8"/>
            <x v="9"/>
            <x v="10"/>
            <x v="11"/>
            <x v="12"/>
            <x v="13"/>
          </reference>
        </references>
      </pivotArea>
    </format>
    <format dxfId="77">
      <pivotArea dataOnly="0" labelOnly="1" grandRow="1" outline="0" fieldPosition="0"/>
    </format>
    <format dxfId="7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1FFD4-F75A-4F5C-82F7-2D52587F76B0}" name="PivotTable3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Y4:Z5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45"/>
        <item x="61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52"/>
        <item x="51"/>
        <item x="55"/>
        <item x="53"/>
        <item x="63"/>
        <item x="42"/>
        <item x="11"/>
        <item x="34"/>
        <item x="10"/>
        <item x="9"/>
        <item x="12"/>
        <item x="71"/>
        <item x="37"/>
        <item x="73"/>
        <item x="22"/>
        <item x="5"/>
        <item x="23"/>
        <item x="33"/>
        <item x="32"/>
        <item x="57"/>
        <item x="3"/>
        <item x="79"/>
        <item x="35"/>
        <item x="1"/>
        <item x="14"/>
        <item x="49"/>
        <item x="44"/>
        <item x="48"/>
        <item x="31"/>
        <item x="50"/>
        <item x="72"/>
        <item x="6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25"/>
        <item x="27"/>
        <item m="1" x="135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8">
        <item h="1" x="0"/>
        <item x="1"/>
        <item m="1" x="6"/>
        <item h="1" x="2"/>
        <item h="1" x="3"/>
        <item h="1" x="4"/>
        <item h="1" x="5"/>
        <item t="default"/>
      </items>
    </pivotField>
  </pivotFields>
  <rowFields count="1">
    <field x="1"/>
  </rowFields>
  <rowItems count="51">
    <i>
      <x v="35"/>
    </i>
    <i>
      <x v="33"/>
    </i>
    <i>
      <x v="15"/>
    </i>
    <i>
      <x v="78"/>
    </i>
    <i>
      <x v="40"/>
    </i>
    <i>
      <x v="34"/>
    </i>
    <i>
      <x v="6"/>
    </i>
    <i>
      <x v="50"/>
    </i>
    <i>
      <x v="42"/>
    </i>
    <i>
      <x v="19"/>
    </i>
    <i>
      <x v="3"/>
    </i>
    <i>
      <x v="58"/>
    </i>
    <i>
      <x v="1"/>
    </i>
    <i>
      <x v="77"/>
    </i>
    <i>
      <x v="2"/>
    </i>
    <i>
      <x/>
    </i>
    <i>
      <x v="37"/>
    </i>
    <i>
      <x v="8"/>
    </i>
    <i>
      <x v="39"/>
    </i>
    <i>
      <x v="54"/>
    </i>
    <i>
      <x v="31"/>
    </i>
    <i>
      <x v="73"/>
    </i>
    <i>
      <x v="24"/>
    </i>
    <i>
      <x v="69"/>
    </i>
    <i>
      <x v="26"/>
    </i>
    <i>
      <x v="11"/>
    </i>
    <i>
      <x v="5"/>
    </i>
    <i>
      <x v="36"/>
    </i>
    <i>
      <x v="29"/>
    </i>
    <i>
      <x v="72"/>
    </i>
    <i>
      <x v="66"/>
    </i>
    <i>
      <x v="27"/>
    </i>
    <i>
      <x v="9"/>
    </i>
    <i>
      <x v="7"/>
    </i>
    <i>
      <x v="13"/>
    </i>
    <i>
      <x v="44"/>
    </i>
    <i>
      <x v="4"/>
    </i>
    <i>
      <x v="76"/>
    </i>
    <i>
      <x v="52"/>
    </i>
    <i>
      <x v="20"/>
    </i>
    <i>
      <x v="43"/>
    </i>
    <i>
      <x v="60"/>
    </i>
    <i>
      <x v="12"/>
    </i>
    <i>
      <x v="62"/>
    </i>
    <i>
      <x v="75"/>
    </i>
    <i>
      <x v="63"/>
    </i>
    <i>
      <x v="23"/>
    </i>
    <i>
      <x v="30"/>
    </i>
    <i>
      <x v="68"/>
    </i>
    <i>
      <x v="46"/>
    </i>
    <i t="grand">
      <x/>
    </i>
  </rowItems>
  <colItems count="1">
    <i/>
  </colItems>
  <pageFields count="1">
    <pageField fld="7" item="1" hier="-1"/>
  </pageFields>
  <dataFields count="1">
    <dataField name="Units Sold" fld="2" baseField="0" baseItem="0"/>
  </dataFields>
  <formats count="6"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1" type="button" dataOnly="0" labelOnly="1" outline="0" axis="axisRow" fieldPosition="0"/>
    </format>
    <format dxfId="70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9"/>
            <x v="20"/>
            <x v="23"/>
            <x v="24"/>
            <x v="26"/>
            <x v="27"/>
            <x v="29"/>
            <x v="30"/>
            <x v="31"/>
            <x v="33"/>
            <x v="34"/>
            <x v="35"/>
            <x v="36"/>
            <x v="37"/>
            <x v="39"/>
            <x v="40"/>
            <x v="42"/>
            <x v="43"/>
            <x v="44"/>
            <x v="46"/>
            <x v="50"/>
            <x v="52"/>
            <x v="54"/>
            <x v="58"/>
            <x v="60"/>
            <x v="62"/>
            <x v="63"/>
            <x v="66"/>
            <x v="68"/>
            <x v="69"/>
            <x v="72"/>
            <x v="73"/>
            <x v="75"/>
            <x v="76"/>
            <x v="77"/>
            <x v="78"/>
          </reference>
        </references>
      </pivotArea>
    </format>
    <format dxfId="71">
      <pivotArea dataOnly="0" labelOnly="1" grandRow="1" outline="0" fieldPosition="0"/>
    </format>
    <format dxfId="7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ADA65-697C-403F-B9A5-3A73B8D02D24}" name="PivotTable3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0:C12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81"/>
        <item x="52"/>
        <item x="51"/>
        <item x="55"/>
        <item x="5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23"/>
        <item x="33"/>
        <item x="87"/>
        <item x="32"/>
        <item x="57"/>
        <item x="3"/>
        <item x="79"/>
        <item x="35"/>
        <item x="1"/>
        <item x="84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86"/>
        <item x="25"/>
        <item x="27"/>
        <item m="1" x="13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8">
        <item h="1" x="0"/>
        <item h="1" x="1"/>
        <item x="2"/>
        <item m="1" x="6"/>
        <item h="1" x="3"/>
        <item h="1" x="4"/>
        <item h="1" x="5"/>
        <item t="default"/>
      </items>
    </pivotField>
  </pivotFields>
  <rowFields count="1">
    <field x="1"/>
  </rowFields>
  <rowItems count="45">
    <i>
      <x v="95"/>
    </i>
    <i>
      <x v="47"/>
    </i>
    <i>
      <x v="35"/>
    </i>
    <i>
      <x v="37"/>
    </i>
    <i>
      <x v="56"/>
    </i>
    <i>
      <x v="27"/>
    </i>
    <i>
      <x v="94"/>
    </i>
    <i>
      <x v="36"/>
    </i>
    <i>
      <x v="43"/>
    </i>
    <i>
      <x v="48"/>
    </i>
    <i>
      <x v="29"/>
    </i>
    <i>
      <x v="44"/>
    </i>
    <i>
      <x v="11"/>
    </i>
    <i>
      <x v="55"/>
    </i>
    <i>
      <x v="28"/>
    </i>
    <i>
      <x v="57"/>
    </i>
    <i>
      <x v="83"/>
    </i>
    <i>
      <x v="45"/>
    </i>
    <i>
      <x v="46"/>
    </i>
    <i>
      <x v="50"/>
    </i>
    <i>
      <x v="12"/>
    </i>
    <i>
      <x v="87"/>
    </i>
    <i>
      <x v="18"/>
    </i>
    <i>
      <x v="74"/>
    </i>
    <i>
      <x v="40"/>
    </i>
    <i>
      <x v="54"/>
    </i>
    <i>
      <x v="15"/>
    </i>
    <i>
      <x v="81"/>
    </i>
    <i>
      <x v="92"/>
    </i>
    <i>
      <x v="51"/>
    </i>
    <i>
      <x v="41"/>
    </i>
    <i>
      <x v="79"/>
    </i>
    <i>
      <x v="98"/>
    </i>
    <i>
      <x v="14"/>
    </i>
    <i>
      <x v="64"/>
    </i>
    <i>
      <x v="88"/>
    </i>
    <i>
      <x v="65"/>
    </i>
    <i>
      <x v="71"/>
    </i>
    <i>
      <x v="58"/>
    </i>
    <i>
      <x v="96"/>
    </i>
    <i>
      <x v="97"/>
    </i>
    <i>
      <x v="61"/>
    </i>
    <i>
      <x v="59"/>
    </i>
    <i>
      <x v="52"/>
    </i>
    <i t="grand">
      <x/>
    </i>
  </rowItems>
  <colItems count="1">
    <i/>
  </colItems>
  <pageFields count="1">
    <pageField fld="7" item="2" hier="-1"/>
  </pageFields>
  <dataFields count="1">
    <dataField name="Sum of Quantity" fld="2" baseField="0" baseItem="0"/>
  </dataFields>
  <formats count="6"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1" type="button" dataOnly="0" labelOnly="1" outline="0" axis="axisRow" fieldPosition="0"/>
    </format>
    <format dxfId="64">
      <pivotArea dataOnly="0" labelOnly="1" outline="0" fieldPosition="0">
        <references count="1">
          <reference field="1" count="44">
            <x v="11"/>
            <x v="12"/>
            <x v="14"/>
            <x v="15"/>
            <x v="18"/>
            <x v="27"/>
            <x v="28"/>
            <x v="29"/>
            <x v="35"/>
            <x v="36"/>
            <x v="37"/>
            <x v="40"/>
            <x v="41"/>
            <x v="43"/>
            <x v="44"/>
            <x v="45"/>
            <x v="46"/>
            <x v="47"/>
            <x v="48"/>
            <x v="50"/>
            <x v="51"/>
            <x v="52"/>
            <x v="54"/>
            <x v="55"/>
            <x v="56"/>
            <x v="57"/>
            <x v="58"/>
            <x v="59"/>
            <x v="61"/>
            <x v="64"/>
            <x v="65"/>
            <x v="71"/>
            <x v="74"/>
            <x v="79"/>
            <x v="81"/>
            <x v="83"/>
            <x v="87"/>
            <x v="88"/>
            <x v="92"/>
            <x v="94"/>
            <x v="95"/>
            <x v="96"/>
            <x v="97"/>
            <x v="98"/>
          </reference>
        </references>
      </pivotArea>
    </format>
    <format dxfId="65">
      <pivotArea dataOnly="0" labelOnly="1" grandRow="1" outline="0" fieldPosition="0"/>
    </format>
    <format dxfId="6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1493F-CB39-48FE-976B-B4229534AFE3}" name="PivotTable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4:C69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81"/>
        <item x="52"/>
        <item x="51"/>
        <item x="55"/>
        <item x="5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23"/>
        <item x="33"/>
        <item x="87"/>
        <item x="32"/>
        <item x="57"/>
        <item x="3"/>
        <item x="79"/>
        <item x="35"/>
        <item x="1"/>
        <item x="84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86"/>
        <item x="25"/>
        <item x="27"/>
        <item m="1" x="135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h="1" x="1"/>
        <item x="2"/>
        <item m="1" x="6"/>
        <item h="1" x="3"/>
        <item h="1" x="4"/>
        <item h="1" x="5"/>
        <item t="default"/>
      </items>
    </pivotField>
  </pivotFields>
  <rowFields count="1">
    <field x="1"/>
  </rowFields>
  <rowItems count="45">
    <i>
      <x v="12"/>
    </i>
    <i>
      <x v="57"/>
    </i>
    <i>
      <x v="88"/>
    </i>
    <i>
      <x v="94"/>
    </i>
    <i>
      <x v="37"/>
    </i>
    <i>
      <x v="61"/>
    </i>
    <i>
      <x v="48"/>
    </i>
    <i>
      <x v="71"/>
    </i>
    <i>
      <x v="55"/>
    </i>
    <i>
      <x v="29"/>
    </i>
    <i>
      <x v="43"/>
    </i>
    <i>
      <x v="79"/>
    </i>
    <i>
      <x v="58"/>
    </i>
    <i>
      <x v="56"/>
    </i>
    <i>
      <x v="65"/>
    </i>
    <i>
      <x v="74"/>
    </i>
    <i>
      <x v="11"/>
    </i>
    <i>
      <x v="83"/>
    </i>
    <i>
      <x v="47"/>
    </i>
    <i>
      <x v="18"/>
    </i>
    <i>
      <x v="46"/>
    </i>
    <i>
      <x v="81"/>
    </i>
    <i>
      <x v="28"/>
    </i>
    <i>
      <x v="50"/>
    </i>
    <i>
      <x v="54"/>
    </i>
    <i>
      <x v="35"/>
    </i>
    <i>
      <x v="95"/>
    </i>
    <i>
      <x v="15"/>
    </i>
    <i>
      <x v="45"/>
    </i>
    <i>
      <x v="27"/>
    </i>
    <i>
      <x v="40"/>
    </i>
    <i>
      <x v="14"/>
    </i>
    <i>
      <x v="92"/>
    </i>
    <i>
      <x v="52"/>
    </i>
    <i>
      <x v="36"/>
    </i>
    <i>
      <x v="64"/>
    </i>
    <i>
      <x v="96"/>
    </i>
    <i>
      <x v="59"/>
    </i>
    <i>
      <x v="97"/>
    </i>
    <i>
      <x v="51"/>
    </i>
    <i>
      <x v="87"/>
    </i>
    <i>
      <x v="41"/>
    </i>
    <i>
      <x v="98"/>
    </i>
    <i>
      <x v="44"/>
    </i>
    <i t="grand">
      <x/>
    </i>
  </rowItems>
  <colItems count="1">
    <i/>
  </colItems>
  <pageFields count="1">
    <pageField fld="7" item="2" hier="-1"/>
  </pageFields>
  <dataFields count="1">
    <dataField name="Total Profit" fld="5" baseField="0" baseItem="0" numFmtId="164"/>
  </dataFields>
  <formats count="6"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1" type="button" dataOnly="0" labelOnly="1" outline="0" axis="axisRow" fieldPosition="0"/>
    </format>
    <format dxfId="58">
      <pivotArea dataOnly="0" labelOnly="1" outline="0" fieldPosition="0">
        <references count="1">
          <reference field="1" count="44">
            <x v="11"/>
            <x v="12"/>
            <x v="14"/>
            <x v="15"/>
            <x v="18"/>
            <x v="27"/>
            <x v="28"/>
            <x v="29"/>
            <x v="35"/>
            <x v="36"/>
            <x v="37"/>
            <x v="40"/>
            <x v="41"/>
            <x v="43"/>
            <x v="44"/>
            <x v="45"/>
            <x v="46"/>
            <x v="47"/>
            <x v="48"/>
            <x v="50"/>
            <x v="51"/>
            <x v="52"/>
            <x v="54"/>
            <x v="55"/>
            <x v="56"/>
            <x v="57"/>
            <x v="58"/>
            <x v="59"/>
            <x v="61"/>
            <x v="64"/>
            <x v="65"/>
            <x v="71"/>
            <x v="74"/>
            <x v="79"/>
            <x v="81"/>
            <x v="83"/>
            <x v="87"/>
            <x v="88"/>
            <x v="92"/>
            <x v="94"/>
            <x v="95"/>
            <x v="96"/>
            <x v="97"/>
            <x v="98"/>
          </reference>
        </references>
      </pivotArea>
    </format>
    <format dxfId="59">
      <pivotArea dataOnly="0" labelOnly="1" grandRow="1" outline="0" fieldPosition="0"/>
    </format>
    <format dxfId="6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F1D17-32C1-49A8-BC03-6949EAE3C259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12" firstHeaderRow="1" firstDataRow="1" firstDataCol="1" rowPageCount="1" colPageCount="1"/>
  <pivotFields count="8">
    <pivotField axis="axisRow" compact="0" numFmtId="14" outline="0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h="1" x="1"/>
        <item m="1" x="6"/>
        <item x="2"/>
        <item h="1" x="3"/>
        <item h="1" x="4"/>
        <item h="1" x="5"/>
        <item t="default"/>
      </items>
    </pivotField>
  </pivotFields>
  <rowFields count="1">
    <field x="0"/>
  </rowFields>
  <row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7" item="3" hier="-1"/>
  </pageFields>
  <dataFields count="1">
    <dataField name="Daily Profit" fld="5" baseField="0" baseItem="0" numFmtId="164"/>
  </dataFields>
  <formats count="6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0" type="button" dataOnly="0" labelOnly="1" outline="0" axis="axisRow" fieldPosition="0"/>
    </format>
    <format dxfId="52">
      <pivotArea dataOnly="0" labelOnly="1" outline="0" fieldPosition="0">
        <references count="1">
          <reference field="0" count="7">
            <x v="14"/>
            <x v="15"/>
            <x v="16"/>
            <x v="17"/>
            <x v="18"/>
            <x v="19"/>
            <x v="20"/>
          </reference>
        </references>
      </pivotArea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E64F6-8BB3-4A71-9B06-C012A961639A}" name="PivotTable4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6:C138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101"/>
        <item x="109"/>
        <item x="67"/>
        <item x="58"/>
        <item x="99"/>
        <item x="41"/>
        <item x="81"/>
        <item x="52"/>
        <item x="108"/>
        <item x="51"/>
        <item x="55"/>
        <item x="53"/>
        <item x="10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104"/>
        <item x="23"/>
        <item x="33"/>
        <item x="87"/>
        <item x="32"/>
        <item x="106"/>
        <item x="57"/>
        <item x="3"/>
        <item x="79"/>
        <item x="107"/>
        <item x="35"/>
        <item x="1"/>
        <item x="84"/>
        <item x="105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15"/>
        <item x="118"/>
        <item x="116"/>
        <item x="86"/>
        <item x="25"/>
        <item x="27"/>
        <item m="1" x="135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8">
        <item h="1" x="0"/>
        <item h="1" x="1"/>
        <item h="1" x="2"/>
        <item x="3"/>
        <item h="1" x="4"/>
        <item m="1" x="6"/>
        <item h="1" x="5"/>
        <item t="default"/>
      </items>
    </pivotField>
  </pivotFields>
  <rowFields count="1">
    <field x="1"/>
  </rowFields>
  <rowItems count="52">
    <i>
      <x v="79"/>
    </i>
    <i>
      <x v="48"/>
    </i>
    <i>
      <x v="3"/>
    </i>
    <i>
      <x v="45"/>
    </i>
    <i>
      <x v="24"/>
    </i>
    <i>
      <x v="46"/>
    </i>
    <i>
      <x v="2"/>
    </i>
    <i>
      <x v="6"/>
    </i>
    <i>
      <x v="39"/>
    </i>
    <i>
      <x v="74"/>
    </i>
    <i>
      <x v="103"/>
    </i>
    <i>
      <x v="72"/>
    </i>
    <i>
      <x v="38"/>
    </i>
    <i>
      <x v="33"/>
    </i>
    <i>
      <x v="36"/>
    </i>
    <i>
      <x v="9"/>
    </i>
    <i>
      <x v="55"/>
    </i>
    <i>
      <x v="88"/>
    </i>
    <i>
      <x v="82"/>
    </i>
    <i>
      <x v="12"/>
    </i>
    <i>
      <x v="5"/>
    </i>
    <i>
      <x v="111"/>
    </i>
    <i>
      <x v="10"/>
    </i>
    <i>
      <x v="51"/>
    </i>
    <i>
      <x v="102"/>
    </i>
    <i>
      <x v="60"/>
    </i>
    <i>
      <x v="43"/>
    </i>
    <i>
      <x v="56"/>
    </i>
    <i>
      <x v="61"/>
    </i>
    <i>
      <x v="22"/>
    </i>
    <i>
      <x v="83"/>
    </i>
    <i>
      <x v="118"/>
    </i>
    <i>
      <x v="11"/>
    </i>
    <i>
      <x v="100"/>
    </i>
    <i>
      <x v="13"/>
    </i>
    <i>
      <x v="14"/>
    </i>
    <i>
      <x v="20"/>
    </i>
    <i>
      <x v="35"/>
    </i>
    <i>
      <x v="15"/>
    </i>
    <i>
      <x v="113"/>
    </i>
    <i>
      <x v="40"/>
    </i>
    <i>
      <x v="115"/>
    </i>
    <i>
      <x v="98"/>
    </i>
    <i>
      <x v="87"/>
    </i>
    <i>
      <x v="4"/>
    </i>
    <i>
      <x v="114"/>
    </i>
    <i>
      <x v="30"/>
    </i>
    <i>
      <x v="117"/>
    </i>
    <i>
      <x v="77"/>
    </i>
    <i>
      <x v="104"/>
    </i>
    <i>
      <x v="47"/>
    </i>
    <i t="grand">
      <x/>
    </i>
  </rowItems>
  <colItems count="1">
    <i/>
  </colItems>
  <pageFields count="1">
    <pageField fld="7" item="3" hier="-1"/>
  </pageFields>
  <dataFields count="1">
    <dataField name="Units Sold" fld="2" baseField="0" baseItem="0"/>
  </dataFields>
  <formats count="7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" type="button" dataOnly="0" labelOnly="1" outline="0" axis="axisRow" fieldPosition="0"/>
    </format>
    <format dxfId="45">
      <pivotArea dataOnly="0" labelOnly="1" outline="0" fieldPosition="0">
        <references count="1">
          <reference field="1" count="50">
            <x v="2"/>
            <x v="3"/>
            <x v="4"/>
            <x v="5"/>
            <x v="6"/>
            <x v="9"/>
            <x v="10"/>
            <x v="11"/>
            <x v="12"/>
            <x v="13"/>
            <x v="14"/>
            <x v="15"/>
            <x v="20"/>
            <x v="22"/>
            <x v="24"/>
            <x v="30"/>
            <x v="33"/>
            <x v="35"/>
            <x v="36"/>
            <x v="38"/>
            <x v="39"/>
            <x v="40"/>
            <x v="43"/>
            <x v="45"/>
            <x v="46"/>
            <x v="48"/>
            <x v="51"/>
            <x v="55"/>
            <x v="56"/>
            <x v="60"/>
            <x v="61"/>
            <x v="72"/>
            <x v="74"/>
            <x v="77"/>
            <x v="79"/>
            <x v="82"/>
            <x v="83"/>
            <x v="87"/>
            <x v="88"/>
            <x v="98"/>
            <x v="100"/>
            <x v="102"/>
            <x v="103"/>
            <x v="104"/>
            <x v="111"/>
            <x v="113"/>
            <x v="114"/>
            <x v="115"/>
            <x v="117"/>
            <x v="118"/>
          </reference>
        </references>
      </pivotArea>
    </format>
    <format dxfId="46">
      <pivotArea dataOnly="0" labelOnly="1" outline="0" fieldPosition="0">
        <references count="1">
          <reference field="1" count="1">
            <x v="47"/>
          </reference>
        </references>
      </pivotArea>
    </format>
    <format dxfId="47">
      <pivotArea dataOnly="0" labelOnly="1" grandRow="1" outline="0" fieldPosition="0"/>
    </format>
    <format dxfId="4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7B8EE-B2C2-403D-ABE3-ABFAAD3EAD20}" name="PivotTable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5:C77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101"/>
        <item x="109"/>
        <item x="67"/>
        <item x="58"/>
        <item x="99"/>
        <item x="41"/>
        <item x="81"/>
        <item x="52"/>
        <item x="108"/>
        <item x="51"/>
        <item x="55"/>
        <item x="53"/>
        <item x="10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104"/>
        <item x="23"/>
        <item x="33"/>
        <item x="87"/>
        <item x="32"/>
        <item x="106"/>
        <item x="57"/>
        <item x="3"/>
        <item x="79"/>
        <item x="107"/>
        <item x="35"/>
        <item x="1"/>
        <item x="84"/>
        <item x="105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15"/>
        <item x="118"/>
        <item x="116"/>
        <item x="86"/>
        <item x="25"/>
        <item x="27"/>
        <item m="1" x="135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h="1" x="1"/>
        <item h="1" x="2"/>
        <item x="3"/>
        <item h="1" x="4"/>
        <item m="1" x="6"/>
        <item h="1" x="5"/>
        <item t="default"/>
      </items>
    </pivotField>
  </pivotFields>
  <rowFields count="1">
    <field x="1"/>
  </rowFields>
  <rowItems count="52">
    <i>
      <x v="87"/>
    </i>
    <i>
      <x v="48"/>
    </i>
    <i>
      <x v="4"/>
    </i>
    <i>
      <x v="6"/>
    </i>
    <i>
      <x v="38"/>
    </i>
    <i>
      <x v="103"/>
    </i>
    <i>
      <x v="43"/>
    </i>
    <i>
      <x v="9"/>
    </i>
    <i>
      <x v="36"/>
    </i>
    <i>
      <x v="60"/>
    </i>
    <i>
      <x v="113"/>
    </i>
    <i>
      <x v="3"/>
    </i>
    <i>
      <x v="55"/>
    </i>
    <i>
      <x v="24"/>
    </i>
    <i>
      <x v="10"/>
    </i>
    <i>
      <x v="79"/>
    </i>
    <i>
      <x v="61"/>
    </i>
    <i>
      <x v="111"/>
    </i>
    <i>
      <x v="11"/>
    </i>
    <i>
      <x v="33"/>
    </i>
    <i>
      <x v="22"/>
    </i>
    <i>
      <x v="47"/>
    </i>
    <i>
      <x v="56"/>
    </i>
    <i>
      <x v="20"/>
    </i>
    <i>
      <x v="46"/>
    </i>
    <i>
      <x v="51"/>
    </i>
    <i>
      <x v="114"/>
    </i>
    <i>
      <x v="45"/>
    </i>
    <i>
      <x v="2"/>
    </i>
    <i>
      <x v="39"/>
    </i>
    <i>
      <x v="102"/>
    </i>
    <i>
      <x v="40"/>
    </i>
    <i>
      <x v="83"/>
    </i>
    <i>
      <x v="74"/>
    </i>
    <i>
      <x v="115"/>
    </i>
    <i>
      <x v="12"/>
    </i>
    <i>
      <x v="15"/>
    </i>
    <i>
      <x v="118"/>
    </i>
    <i>
      <x v="13"/>
    </i>
    <i>
      <x v="35"/>
    </i>
    <i>
      <x v="98"/>
    </i>
    <i>
      <x v="117"/>
    </i>
    <i>
      <x v="104"/>
    </i>
    <i>
      <x v="100"/>
    </i>
    <i>
      <x v="30"/>
    </i>
    <i>
      <x v="77"/>
    </i>
    <i>
      <x v="14"/>
    </i>
    <i>
      <x v="82"/>
    </i>
    <i>
      <x v="72"/>
    </i>
    <i>
      <x v="88"/>
    </i>
    <i>
      <x v="5"/>
    </i>
    <i t="grand">
      <x/>
    </i>
  </rowItems>
  <colItems count="1">
    <i/>
  </colItems>
  <pageFields count="1">
    <pageField fld="7" item="3" hier="-1"/>
  </pageFields>
  <dataFields count="1">
    <dataField name="Total Profit" fld="5" baseField="0" baseItem="0" numFmtId="164"/>
  </dataFields>
  <formats count="7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1" type="button" dataOnly="0" labelOnly="1" outline="0" axis="axisRow" fieldPosition="0"/>
    </format>
    <format dxfId="38">
      <pivotArea dataOnly="0" labelOnly="1" outline="0" fieldPosition="0">
        <references count="1">
          <reference field="1" count="50">
            <x v="2"/>
            <x v="3"/>
            <x v="4"/>
            <x v="6"/>
            <x v="9"/>
            <x v="10"/>
            <x v="11"/>
            <x v="12"/>
            <x v="13"/>
            <x v="14"/>
            <x v="15"/>
            <x v="20"/>
            <x v="22"/>
            <x v="24"/>
            <x v="30"/>
            <x v="33"/>
            <x v="35"/>
            <x v="36"/>
            <x v="38"/>
            <x v="39"/>
            <x v="40"/>
            <x v="43"/>
            <x v="45"/>
            <x v="46"/>
            <x v="47"/>
            <x v="48"/>
            <x v="51"/>
            <x v="55"/>
            <x v="56"/>
            <x v="60"/>
            <x v="61"/>
            <x v="72"/>
            <x v="74"/>
            <x v="77"/>
            <x v="79"/>
            <x v="82"/>
            <x v="83"/>
            <x v="87"/>
            <x v="88"/>
            <x v="98"/>
            <x v="100"/>
            <x v="102"/>
            <x v="103"/>
            <x v="104"/>
            <x v="111"/>
            <x v="113"/>
            <x v="114"/>
            <x v="115"/>
            <x v="117"/>
            <x v="118"/>
          </reference>
        </references>
      </pivotArea>
    </format>
    <format dxfId="39">
      <pivotArea dataOnly="0" labelOnly="1" outline="0" fieldPosition="0">
        <references count="1">
          <reference field="1" count="1">
            <x v="5"/>
          </reference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FCCE8-63DF-400C-BB33-937A86126BCF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12" firstHeaderRow="1" firstDataRow="1" firstDataCol="1" rowPageCount="1" colPageCount="1"/>
  <pivotFields count="8">
    <pivotField axis="axisRow" compact="0" numFmtId="14" outline="0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h="1" x="1"/>
        <item h="1" x="2"/>
        <item m="1" x="6"/>
        <item x="3"/>
        <item h="1" x="4"/>
        <item h="1" x="5"/>
        <item t="default"/>
      </items>
    </pivotField>
  </pivotFields>
  <rowFields count="1">
    <field x="0"/>
  </rowFields>
  <rowItems count="8"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pageFields count="1">
    <pageField fld="7" item="4" hier="-1"/>
  </pageFields>
  <dataFields count="1">
    <dataField name="Daily Profit" fld="5" baseField="0" baseItem="0" numFmtId="164"/>
  </dataFields>
  <formats count="6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0" type="button" dataOnly="0" labelOnly="1" outline="0" axis="axisRow" fieldPosition="0"/>
    </format>
    <format dxfId="32">
      <pivotArea dataOnly="0" labelOnly="1" outline="0" fieldPosition="0">
        <references count="1">
          <reference field="0" count="7">
            <x v="21"/>
            <x v="22"/>
            <x v="23"/>
            <x v="24"/>
            <x v="25"/>
            <x v="26"/>
            <x v="27"/>
          </reference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FA3A9-685B-4D5F-AD81-0DD35EEBC832}" name="PivotTable3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2:C126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122"/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127"/>
        <item x="36"/>
        <item x="60"/>
        <item x="26"/>
        <item x="39"/>
        <item x="40"/>
        <item x="121"/>
        <item x="18"/>
        <item x="130"/>
        <item x="8"/>
        <item x="17"/>
        <item x="125"/>
        <item x="21"/>
        <item x="76"/>
        <item x="69"/>
        <item x="20"/>
        <item x="70"/>
        <item x="16"/>
        <item x="19"/>
        <item x="68"/>
        <item x="101"/>
        <item x="124"/>
        <item x="109"/>
        <item x="123"/>
        <item x="67"/>
        <item x="58"/>
        <item x="99"/>
        <item x="41"/>
        <item x="81"/>
        <item x="52"/>
        <item x="108"/>
        <item x="51"/>
        <item x="55"/>
        <item x="53"/>
        <item x="103"/>
        <item x="128"/>
        <item x="63"/>
        <item x="83"/>
        <item x="42"/>
        <item x="11"/>
        <item x="34"/>
        <item x="10"/>
        <item x="126"/>
        <item x="131"/>
        <item x="93"/>
        <item x="94"/>
        <item x="119"/>
        <item x="9"/>
        <item x="12"/>
        <item x="92"/>
        <item x="98"/>
        <item x="71"/>
        <item x="37"/>
        <item x="133"/>
        <item x="73"/>
        <item x="89"/>
        <item x="90"/>
        <item x="88"/>
        <item x="91"/>
        <item x="22"/>
        <item x="5"/>
        <item x="96"/>
        <item x="104"/>
        <item x="23"/>
        <item x="134"/>
        <item x="33"/>
        <item x="87"/>
        <item x="32"/>
        <item x="106"/>
        <item x="57"/>
        <item x="3"/>
        <item x="79"/>
        <item x="107"/>
        <item x="35"/>
        <item x="1"/>
        <item x="84"/>
        <item x="129"/>
        <item x="105"/>
        <item x="14"/>
        <item x="49"/>
        <item x="85"/>
        <item x="44"/>
        <item x="48"/>
        <item x="31"/>
        <item x="50"/>
        <item x="72"/>
        <item x="6"/>
        <item x="97"/>
        <item x="120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32"/>
        <item x="115"/>
        <item x="118"/>
        <item x="116"/>
        <item x="86"/>
        <item x="25"/>
        <item x="27"/>
        <item m="1" x="1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8">
        <item h="1" x="0"/>
        <item h="1" x="1"/>
        <item h="1" x="2"/>
        <item h="1" x="3"/>
        <item x="4"/>
        <item h="1" x="5"/>
        <item m="1" x="6"/>
        <item t="default"/>
      </items>
    </pivotField>
  </pivotFields>
  <rowFields count="1">
    <field x="1"/>
  </rowFields>
  <rowItems count="44">
    <i>
      <x v="55"/>
    </i>
    <i>
      <x v="52"/>
    </i>
    <i>
      <x v="53"/>
    </i>
    <i>
      <x v="3"/>
    </i>
    <i>
      <x v="32"/>
    </i>
    <i>
      <x v="44"/>
    </i>
    <i>
      <x v="7"/>
    </i>
    <i>
      <x v="45"/>
    </i>
    <i>
      <x v="41"/>
    </i>
    <i>
      <x v="127"/>
    </i>
    <i>
      <x v="63"/>
    </i>
    <i>
      <x v="84"/>
    </i>
    <i>
      <x v="4"/>
    </i>
    <i>
      <x v="47"/>
    </i>
    <i>
      <x v="86"/>
    </i>
    <i>
      <x v="31"/>
    </i>
    <i>
      <x/>
    </i>
    <i>
      <x v="34"/>
    </i>
    <i>
      <x v="117"/>
    </i>
    <i>
      <x v="114"/>
    </i>
    <i>
      <x v="71"/>
    </i>
    <i>
      <x v="118"/>
    </i>
    <i>
      <x v="35"/>
    </i>
    <i>
      <x v="46"/>
    </i>
    <i>
      <x v="58"/>
    </i>
    <i>
      <x v="95"/>
    </i>
    <i>
      <x v="113"/>
    </i>
    <i>
      <x v="65"/>
    </i>
    <i>
      <x v="54"/>
    </i>
    <i>
      <x v="115"/>
    </i>
    <i>
      <x v="40"/>
    </i>
    <i>
      <x v="119"/>
    </i>
    <i>
      <x v="59"/>
    </i>
    <i>
      <x v="24"/>
    </i>
    <i>
      <x v="23"/>
    </i>
    <i>
      <x v="70"/>
    </i>
    <i>
      <x v="72"/>
    </i>
    <i>
      <x v="100"/>
    </i>
    <i>
      <x v="30"/>
    </i>
    <i>
      <x v="112"/>
    </i>
    <i>
      <x v="98"/>
    </i>
    <i>
      <x v="66"/>
    </i>
    <i>
      <x v="99"/>
    </i>
    <i t="grand">
      <x/>
    </i>
  </rowItems>
  <colItems count="1">
    <i/>
  </colItems>
  <pageFields count="1">
    <pageField fld="7" item="4" hier="-1"/>
  </pageFields>
  <dataFields count="1">
    <dataField name="Units Sold" fld="2" baseField="0" baseItem="0"/>
  </dataFields>
  <formats count="6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1" count="43">
            <x v="0"/>
            <x v="3"/>
            <x v="4"/>
            <x v="7"/>
            <x v="23"/>
            <x v="24"/>
            <x v="30"/>
            <x v="31"/>
            <x v="32"/>
            <x v="34"/>
            <x v="35"/>
            <x v="40"/>
            <x v="41"/>
            <x v="44"/>
            <x v="45"/>
            <x v="46"/>
            <x v="47"/>
            <x v="52"/>
            <x v="53"/>
            <x v="54"/>
            <x v="55"/>
            <x v="58"/>
            <x v="59"/>
            <x v="63"/>
            <x v="65"/>
            <x v="66"/>
            <x v="70"/>
            <x v="71"/>
            <x v="72"/>
            <x v="84"/>
            <x v="86"/>
            <x v="95"/>
            <x v="98"/>
            <x v="99"/>
            <x v="100"/>
            <x v="112"/>
            <x v="113"/>
            <x v="114"/>
            <x v="115"/>
            <x v="117"/>
            <x v="118"/>
            <x v="119"/>
            <x v="127"/>
          </reference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8643D-346B-49A9-A796-E899C4ABA300}" name="PivotTable2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8:C72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37">
        <item x="122"/>
        <item x="2"/>
        <item x="80"/>
        <item x="29"/>
        <item x="28"/>
        <item x="78"/>
        <item x="65"/>
        <item x="0"/>
        <item x="77"/>
        <item x="66"/>
        <item x="113"/>
        <item x="114"/>
        <item x="117"/>
        <item x="100"/>
        <item x="112"/>
        <item x="111"/>
        <item x="110"/>
        <item x="64"/>
        <item x="38"/>
        <item x="46"/>
        <item x="95"/>
        <item x="45"/>
        <item x="61"/>
        <item x="82"/>
        <item x="127"/>
        <item x="36"/>
        <item x="60"/>
        <item x="26"/>
        <item x="39"/>
        <item x="40"/>
        <item x="121"/>
        <item x="18"/>
        <item x="130"/>
        <item x="8"/>
        <item x="17"/>
        <item x="125"/>
        <item x="21"/>
        <item x="76"/>
        <item x="69"/>
        <item x="20"/>
        <item x="70"/>
        <item x="16"/>
        <item x="19"/>
        <item x="68"/>
        <item x="101"/>
        <item x="124"/>
        <item x="109"/>
        <item x="123"/>
        <item x="67"/>
        <item x="58"/>
        <item x="99"/>
        <item x="41"/>
        <item x="81"/>
        <item x="52"/>
        <item x="108"/>
        <item x="51"/>
        <item x="55"/>
        <item x="53"/>
        <item x="103"/>
        <item x="128"/>
        <item x="63"/>
        <item x="83"/>
        <item x="42"/>
        <item x="11"/>
        <item x="34"/>
        <item x="10"/>
        <item x="126"/>
        <item x="131"/>
        <item x="93"/>
        <item x="94"/>
        <item x="119"/>
        <item x="9"/>
        <item x="12"/>
        <item x="92"/>
        <item x="98"/>
        <item x="71"/>
        <item x="37"/>
        <item x="133"/>
        <item x="73"/>
        <item x="89"/>
        <item x="90"/>
        <item x="88"/>
        <item x="91"/>
        <item x="22"/>
        <item x="5"/>
        <item x="96"/>
        <item x="104"/>
        <item x="23"/>
        <item x="134"/>
        <item x="33"/>
        <item x="87"/>
        <item x="32"/>
        <item x="106"/>
        <item x="57"/>
        <item x="3"/>
        <item x="79"/>
        <item x="107"/>
        <item x="35"/>
        <item x="1"/>
        <item x="84"/>
        <item x="129"/>
        <item x="105"/>
        <item x="14"/>
        <item x="49"/>
        <item x="85"/>
        <item x="44"/>
        <item x="48"/>
        <item x="31"/>
        <item x="50"/>
        <item x="72"/>
        <item x="6"/>
        <item x="97"/>
        <item x="120"/>
        <item x="30"/>
        <item x="54"/>
        <item x="4"/>
        <item x="47"/>
        <item x="102"/>
        <item x="75"/>
        <item x="13"/>
        <item x="24"/>
        <item x="62"/>
        <item x="56"/>
        <item x="43"/>
        <item x="74"/>
        <item x="15"/>
        <item x="7"/>
        <item x="59"/>
        <item x="132"/>
        <item x="115"/>
        <item x="118"/>
        <item x="116"/>
        <item x="86"/>
        <item x="25"/>
        <item x="27"/>
        <item m="1" x="1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h="1" x="1"/>
        <item h="1" x="2"/>
        <item h="1" x="3"/>
        <item x="4"/>
        <item h="1" x="5"/>
        <item m="1" x="6"/>
        <item t="default"/>
      </items>
    </pivotField>
  </pivotFields>
  <rowFields count="1">
    <field x="1"/>
  </rowFields>
  <rowItems count="44">
    <i>
      <x v="55"/>
    </i>
    <i>
      <x v="30"/>
    </i>
    <i>
      <x v="100"/>
    </i>
    <i>
      <x v="112"/>
    </i>
    <i>
      <x v="99"/>
    </i>
    <i>
      <x v="41"/>
    </i>
    <i>
      <x v="71"/>
    </i>
    <i>
      <x/>
    </i>
    <i>
      <x v="24"/>
    </i>
    <i>
      <x v="63"/>
    </i>
    <i>
      <x v="114"/>
    </i>
    <i>
      <x v="7"/>
    </i>
    <i>
      <x v="54"/>
    </i>
    <i>
      <x v="98"/>
    </i>
    <i>
      <x v="47"/>
    </i>
    <i>
      <x v="118"/>
    </i>
    <i>
      <x v="46"/>
    </i>
    <i>
      <x v="52"/>
    </i>
    <i>
      <x v="53"/>
    </i>
    <i>
      <x v="45"/>
    </i>
    <i>
      <x v="117"/>
    </i>
    <i>
      <x v="23"/>
    </i>
    <i>
      <x v="58"/>
    </i>
    <i>
      <x v="31"/>
    </i>
    <i>
      <x v="34"/>
    </i>
    <i>
      <x v="32"/>
    </i>
    <i>
      <x v="70"/>
    </i>
    <i>
      <x v="3"/>
    </i>
    <i>
      <x v="113"/>
    </i>
    <i>
      <x v="4"/>
    </i>
    <i>
      <x v="44"/>
    </i>
    <i>
      <x v="35"/>
    </i>
    <i>
      <x v="72"/>
    </i>
    <i>
      <x v="119"/>
    </i>
    <i>
      <x v="40"/>
    </i>
    <i>
      <x v="65"/>
    </i>
    <i>
      <x v="66"/>
    </i>
    <i>
      <x v="59"/>
    </i>
    <i>
      <x v="115"/>
    </i>
    <i>
      <x v="127"/>
    </i>
    <i>
      <x v="95"/>
    </i>
    <i>
      <x v="86"/>
    </i>
    <i>
      <x v="84"/>
    </i>
    <i t="grand">
      <x/>
    </i>
  </rowItems>
  <colItems count="1">
    <i/>
  </colItems>
  <pageFields count="1">
    <pageField fld="7" item="4" hier="-1"/>
  </pageFields>
  <dataFields count="1">
    <dataField name="Total Profit" fld="5" baseField="0" baseItem="0" numFmtId="164"/>
  </dataFields>
  <formats count="6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1" count="43">
            <x v="0"/>
            <x v="3"/>
            <x v="4"/>
            <x v="7"/>
            <x v="23"/>
            <x v="24"/>
            <x v="30"/>
            <x v="31"/>
            <x v="32"/>
            <x v="34"/>
            <x v="35"/>
            <x v="40"/>
            <x v="41"/>
            <x v="44"/>
            <x v="45"/>
            <x v="46"/>
            <x v="47"/>
            <x v="52"/>
            <x v="53"/>
            <x v="54"/>
            <x v="55"/>
            <x v="58"/>
            <x v="59"/>
            <x v="63"/>
            <x v="65"/>
            <x v="66"/>
            <x v="70"/>
            <x v="71"/>
            <x v="72"/>
            <x v="84"/>
            <x v="86"/>
            <x v="95"/>
            <x v="98"/>
            <x v="99"/>
            <x v="100"/>
            <x v="112"/>
            <x v="113"/>
            <x v="114"/>
            <x v="115"/>
            <x v="117"/>
            <x v="118"/>
            <x v="119"/>
            <x v="127"/>
          </reference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49F40-6FBC-431B-8206-03516EF12A60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12" firstHeaderRow="1" firstDataRow="1" firstDataCol="1" rowPageCount="1" colPageCount="1"/>
  <pivotFields count="8">
    <pivotField axis="axisRow" compact="0" numFmtId="14" outline="0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8">
        <item h="1" x="0"/>
        <item h="1" x="1"/>
        <item h="1" x="2"/>
        <item h="1" x="3"/>
        <item x="4"/>
        <item m="1" x="6"/>
        <item h="1" x="5"/>
        <item t="default"/>
      </items>
    </pivotField>
  </pivotFields>
  <rowFields count="1">
    <field x="0"/>
  </rowFields>
  <rowItems count="8"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ageFields count="1">
    <pageField fld="7" item="4" hier="-1"/>
  </pageFields>
  <dataFields count="1">
    <dataField name="Daily Profit" fld="5" baseField="0" baseItem="0" numFmtId="164"/>
  </dataFields>
  <formats count="6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0" count="7">
            <x v="28"/>
            <x v="29"/>
            <x v="30"/>
            <x v="31"/>
            <x v="32"/>
            <x v="33"/>
            <x v="34"/>
          </reference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4BB23-1DC8-4C2D-B047-5D6896CA099F}" name="Table7" displayName="Table7" ref="B2:I314" totalsRowShown="0" headerRowDxfId="10" dataDxfId="9" tableBorderDxfId="8">
  <autoFilter ref="B2:I314" xr:uid="{BB74BB23-1DC8-4C2D-B047-5D6896CA099F}"/>
  <tableColumns count="8">
    <tableColumn id="1" xr3:uid="{2323B03D-5D0E-46E3-829B-9C5090F34B3E}" name="Date" dataDxfId="7"/>
    <tableColumn id="2" xr3:uid="{BC93E0BC-FD81-4160-B572-7608F9870001}" name="Product" dataDxfId="6"/>
    <tableColumn id="3" xr3:uid="{99719A05-5B8E-498C-9633-28C2841D3F0D}" name="Quantity" dataDxfId="5"/>
    <tableColumn id="4" xr3:uid="{818D2432-A177-422B-8F5F-70E72C81D886}" name="Sell_Price" dataDxfId="4"/>
    <tableColumn id="5" xr3:uid="{C0806F7A-753C-462F-A17E-2E4B0B760CF3}" name="Cost_Price" dataDxfId="3"/>
    <tableColumn id="6" xr3:uid="{1F2A5F6B-31B4-4099-8435-D111C69679B8}" name="Profit" dataDxfId="2">
      <calculatedColumnFormula>(E3-F3)*D3</calculatedColumnFormula>
    </tableColumn>
    <tableColumn id="7" xr3:uid="{F7EEE74D-F488-41EF-9D16-1951E0508419}" name="Day" dataDxfId="1">
      <calculatedColumnFormula>TEXT(B3,"dddd")</calculatedColumnFormula>
    </tableColumn>
    <tableColumn id="8" xr3:uid="{96D67D87-C5D4-402C-BC59-1F3784CA4FE7}" name="Week" dataDxfId="0">
      <calculatedColumnFormula>"Week " &amp; (INT((B3 - DATE(2026,8,3)) / 7) + 1)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F7AE-4767-4293-8EEE-F32A26172F1E}">
  <dimension ref="B2:AI44"/>
  <sheetViews>
    <sheetView workbookViewId="0">
      <selection activeCell="I28" sqref="I28"/>
    </sheetView>
  </sheetViews>
  <sheetFormatPr defaultRowHeight="15"/>
  <sheetData>
    <row r="2" spans="15:22" ht="15" customHeight="1">
      <c r="O2" s="80" t="s">
        <v>0</v>
      </c>
      <c r="P2" s="81"/>
      <c r="Q2" s="81"/>
      <c r="R2" s="81"/>
      <c r="S2" s="81"/>
      <c r="T2" s="81"/>
      <c r="U2" s="82"/>
    </row>
    <row r="3" spans="15:22" ht="15" customHeight="1">
      <c r="O3" s="83"/>
      <c r="P3" s="84"/>
      <c r="Q3" s="84"/>
      <c r="R3" s="84"/>
      <c r="S3" s="84"/>
      <c r="T3" s="84"/>
      <c r="U3" s="85"/>
    </row>
    <row r="4" spans="15:22" ht="15" customHeight="1">
      <c r="O4" s="83"/>
      <c r="P4" s="84"/>
      <c r="Q4" s="84"/>
      <c r="R4" s="84"/>
      <c r="S4" s="84"/>
      <c r="T4" s="84"/>
      <c r="U4" s="85"/>
    </row>
    <row r="5" spans="15:22" ht="15" customHeight="1">
      <c r="O5" s="86"/>
      <c r="P5" s="87"/>
      <c r="Q5" s="87"/>
      <c r="R5" s="87"/>
      <c r="S5" s="87"/>
      <c r="T5" s="87"/>
      <c r="U5" s="88"/>
    </row>
    <row r="6" spans="15:22" ht="15" customHeight="1">
      <c r="O6" s="71" t="s">
        <v>1</v>
      </c>
      <c r="P6" s="72"/>
      <c r="Q6" s="72"/>
      <c r="R6" s="72"/>
      <c r="S6" s="72"/>
      <c r="T6" s="72"/>
      <c r="U6" s="73"/>
      <c r="V6" s="8"/>
    </row>
    <row r="7" spans="15:22" ht="15" customHeight="1">
      <c r="O7" s="74"/>
      <c r="P7" s="75"/>
      <c r="Q7" s="75"/>
      <c r="R7" s="75"/>
      <c r="S7" s="75"/>
      <c r="T7" s="75"/>
      <c r="U7" s="76"/>
      <c r="V7" s="8"/>
    </row>
    <row r="8" spans="15:22" ht="15" customHeight="1">
      <c r="O8" s="74"/>
      <c r="P8" s="75"/>
      <c r="Q8" s="75"/>
      <c r="R8" s="75"/>
      <c r="S8" s="75"/>
      <c r="T8" s="75"/>
      <c r="U8" s="76"/>
      <c r="V8" s="8"/>
    </row>
    <row r="9" spans="15:22" ht="15" customHeight="1">
      <c r="O9" s="74"/>
      <c r="P9" s="75"/>
      <c r="Q9" s="75"/>
      <c r="R9" s="75"/>
      <c r="S9" s="75"/>
      <c r="T9" s="75"/>
      <c r="U9" s="76"/>
      <c r="V9" s="8"/>
    </row>
    <row r="10" spans="15:22" ht="15" customHeight="1">
      <c r="O10" s="74"/>
      <c r="P10" s="75"/>
      <c r="Q10" s="75"/>
      <c r="R10" s="75"/>
      <c r="S10" s="75"/>
      <c r="T10" s="75"/>
      <c r="U10" s="76"/>
      <c r="V10" s="8"/>
    </row>
    <row r="11" spans="15:22" ht="15" customHeight="1">
      <c r="O11" s="74"/>
      <c r="P11" s="75"/>
      <c r="Q11" s="75"/>
      <c r="R11" s="75"/>
      <c r="S11" s="75"/>
      <c r="T11" s="75"/>
      <c r="U11" s="76"/>
      <c r="V11" s="8"/>
    </row>
    <row r="12" spans="15:22" ht="15" customHeight="1">
      <c r="O12" s="74"/>
      <c r="P12" s="75"/>
      <c r="Q12" s="75"/>
      <c r="R12" s="75"/>
      <c r="S12" s="75"/>
      <c r="T12" s="75"/>
      <c r="U12" s="76"/>
      <c r="V12" s="8"/>
    </row>
    <row r="13" spans="15:22" ht="15" customHeight="1">
      <c r="O13" s="74"/>
      <c r="P13" s="75"/>
      <c r="Q13" s="75"/>
      <c r="R13" s="75"/>
      <c r="S13" s="75"/>
      <c r="T13" s="75"/>
      <c r="U13" s="76"/>
      <c r="V13" s="8"/>
    </row>
    <row r="14" spans="15:22" ht="15" customHeight="1">
      <c r="O14" s="74"/>
      <c r="P14" s="75"/>
      <c r="Q14" s="75"/>
      <c r="R14" s="75"/>
      <c r="S14" s="75"/>
      <c r="T14" s="75"/>
      <c r="U14" s="76"/>
      <c r="V14" s="8"/>
    </row>
    <row r="15" spans="15:22" ht="15" customHeight="1">
      <c r="O15" s="74"/>
      <c r="P15" s="75"/>
      <c r="Q15" s="75"/>
      <c r="R15" s="75"/>
      <c r="S15" s="75"/>
      <c r="T15" s="75"/>
      <c r="U15" s="76"/>
      <c r="V15" s="8"/>
    </row>
    <row r="16" spans="15:22" ht="15" customHeight="1">
      <c r="O16" s="74"/>
      <c r="P16" s="75"/>
      <c r="Q16" s="75"/>
      <c r="R16" s="75"/>
      <c r="S16" s="75"/>
      <c r="T16" s="75"/>
      <c r="U16" s="76"/>
      <c r="V16" s="8"/>
    </row>
    <row r="17" spans="2:35" ht="15" customHeight="1">
      <c r="O17" s="74"/>
      <c r="P17" s="75"/>
      <c r="Q17" s="75"/>
      <c r="R17" s="75"/>
      <c r="S17" s="75"/>
      <c r="T17" s="75"/>
      <c r="U17" s="76"/>
      <c r="V17" s="8"/>
    </row>
    <row r="18" spans="2:35" ht="15" customHeight="1">
      <c r="O18" s="74"/>
      <c r="P18" s="75"/>
      <c r="Q18" s="75"/>
      <c r="R18" s="75"/>
      <c r="S18" s="75"/>
      <c r="T18" s="75"/>
      <c r="U18" s="76"/>
      <c r="V18" s="8"/>
    </row>
    <row r="19" spans="2:35" ht="15" customHeight="1">
      <c r="O19" s="74"/>
      <c r="P19" s="75"/>
      <c r="Q19" s="75"/>
      <c r="R19" s="75"/>
      <c r="S19" s="75"/>
      <c r="T19" s="75"/>
      <c r="U19" s="76"/>
      <c r="V19" s="8"/>
    </row>
    <row r="20" spans="2:35" ht="15" customHeight="1">
      <c r="O20" s="74"/>
      <c r="P20" s="75"/>
      <c r="Q20" s="75"/>
      <c r="R20" s="75"/>
      <c r="S20" s="75"/>
      <c r="T20" s="75"/>
      <c r="U20" s="76"/>
      <c r="V20" s="8"/>
    </row>
    <row r="21" spans="2:35" ht="15" customHeight="1">
      <c r="O21" s="74"/>
      <c r="P21" s="75"/>
      <c r="Q21" s="75"/>
      <c r="R21" s="75"/>
      <c r="S21" s="75"/>
      <c r="T21" s="75"/>
      <c r="U21" s="76"/>
      <c r="V21" s="8"/>
    </row>
    <row r="22" spans="2:35" ht="15" customHeight="1">
      <c r="O22" s="77"/>
      <c r="P22" s="78"/>
      <c r="Q22" s="78"/>
      <c r="R22" s="78"/>
      <c r="S22" s="78"/>
      <c r="T22" s="78"/>
      <c r="U22" s="79"/>
      <c r="V22" s="8"/>
    </row>
    <row r="25" spans="2:35" ht="15" customHeight="1">
      <c r="B25" s="89" t="s">
        <v>2</v>
      </c>
      <c r="C25" s="90"/>
      <c r="D25" s="90"/>
      <c r="E25" s="90"/>
      <c r="F25" s="90"/>
      <c r="G25" s="90"/>
      <c r="H25" s="91"/>
      <c r="K25" s="89" t="s">
        <v>3</v>
      </c>
      <c r="L25" s="90"/>
      <c r="M25" s="90"/>
      <c r="N25" s="90"/>
      <c r="O25" s="90"/>
      <c r="P25" s="90"/>
      <c r="Q25" s="91"/>
      <c r="T25" s="89" t="s">
        <v>4</v>
      </c>
      <c r="U25" s="90"/>
      <c r="V25" s="90"/>
      <c r="W25" s="90"/>
      <c r="X25" s="90"/>
      <c r="Y25" s="90"/>
      <c r="Z25" s="91"/>
      <c r="AC25" s="89" t="s">
        <v>5</v>
      </c>
      <c r="AD25" s="90"/>
      <c r="AE25" s="90"/>
      <c r="AF25" s="90"/>
      <c r="AG25" s="90"/>
      <c r="AH25" s="90"/>
      <c r="AI25" s="91"/>
    </row>
    <row r="26" spans="2:35" ht="15" customHeight="1">
      <c r="B26" s="92"/>
      <c r="C26" s="93"/>
      <c r="D26" s="93"/>
      <c r="E26" s="93"/>
      <c r="F26" s="93"/>
      <c r="G26" s="93"/>
      <c r="H26" s="94"/>
      <c r="K26" s="92"/>
      <c r="L26" s="93"/>
      <c r="M26" s="93"/>
      <c r="N26" s="93"/>
      <c r="O26" s="93"/>
      <c r="P26" s="93"/>
      <c r="Q26" s="94"/>
      <c r="T26" s="92"/>
      <c r="U26" s="93"/>
      <c r="V26" s="93"/>
      <c r="W26" s="93"/>
      <c r="X26" s="93"/>
      <c r="Y26" s="93"/>
      <c r="Z26" s="94"/>
      <c r="AC26" s="92"/>
      <c r="AD26" s="93"/>
      <c r="AE26" s="93"/>
      <c r="AF26" s="93"/>
      <c r="AG26" s="93"/>
      <c r="AH26" s="93"/>
      <c r="AI26" s="94"/>
    </row>
    <row r="27" spans="2:35" ht="15" customHeight="1">
      <c r="B27" s="101" t="s">
        <v>6</v>
      </c>
      <c r="C27" s="102"/>
      <c r="D27" s="102"/>
      <c r="E27" s="102"/>
      <c r="F27" s="102"/>
      <c r="G27" s="102"/>
      <c r="H27" s="103"/>
      <c r="K27" s="101" t="s">
        <v>7</v>
      </c>
      <c r="L27" s="102"/>
      <c r="M27" s="102"/>
      <c r="N27" s="102"/>
      <c r="O27" s="102"/>
      <c r="P27" s="102"/>
      <c r="Q27" s="103"/>
      <c r="T27" s="74" t="s">
        <v>8</v>
      </c>
      <c r="U27" s="95"/>
      <c r="V27" s="95"/>
      <c r="W27" s="95"/>
      <c r="X27" s="95"/>
      <c r="Y27" s="95"/>
      <c r="Z27" s="96"/>
      <c r="AC27" s="101" t="s">
        <v>9</v>
      </c>
      <c r="AD27" s="102"/>
      <c r="AE27" s="102"/>
      <c r="AF27" s="102"/>
      <c r="AG27" s="102"/>
      <c r="AH27" s="102"/>
      <c r="AI27" s="103"/>
    </row>
    <row r="28" spans="2:35" ht="15" customHeight="1">
      <c r="B28" s="97"/>
      <c r="C28" s="95"/>
      <c r="D28" s="95"/>
      <c r="E28" s="95"/>
      <c r="F28" s="95"/>
      <c r="G28" s="95"/>
      <c r="H28" s="96"/>
      <c r="K28" s="97"/>
      <c r="L28" s="95"/>
      <c r="M28" s="95"/>
      <c r="N28" s="95"/>
      <c r="O28" s="95"/>
      <c r="P28" s="95"/>
      <c r="Q28" s="96"/>
      <c r="T28" s="97"/>
      <c r="U28" s="95"/>
      <c r="V28" s="95"/>
      <c r="W28" s="95"/>
      <c r="X28" s="95"/>
      <c r="Y28" s="95"/>
      <c r="Z28" s="96"/>
      <c r="AC28" s="97"/>
      <c r="AD28" s="95"/>
      <c r="AE28" s="95"/>
      <c r="AF28" s="95"/>
      <c r="AG28" s="95"/>
      <c r="AH28" s="95"/>
      <c r="AI28" s="96"/>
    </row>
    <row r="29" spans="2:35" ht="15" customHeight="1">
      <c r="B29" s="97"/>
      <c r="C29" s="95"/>
      <c r="D29" s="95"/>
      <c r="E29" s="95"/>
      <c r="F29" s="95"/>
      <c r="G29" s="95"/>
      <c r="H29" s="96"/>
      <c r="K29" s="97"/>
      <c r="L29" s="95"/>
      <c r="M29" s="95"/>
      <c r="N29" s="95"/>
      <c r="O29" s="95"/>
      <c r="P29" s="95"/>
      <c r="Q29" s="96"/>
      <c r="T29" s="97"/>
      <c r="U29" s="95"/>
      <c r="V29" s="95"/>
      <c r="W29" s="95"/>
      <c r="X29" s="95"/>
      <c r="Y29" s="95"/>
      <c r="Z29" s="96"/>
      <c r="AC29" s="97"/>
      <c r="AD29" s="95"/>
      <c r="AE29" s="95"/>
      <c r="AF29" s="95"/>
      <c r="AG29" s="95"/>
      <c r="AH29" s="95"/>
      <c r="AI29" s="96"/>
    </row>
    <row r="30" spans="2:35" ht="15" customHeight="1">
      <c r="B30" s="97"/>
      <c r="C30" s="95"/>
      <c r="D30" s="95"/>
      <c r="E30" s="95"/>
      <c r="F30" s="95"/>
      <c r="G30" s="95"/>
      <c r="H30" s="96"/>
      <c r="K30" s="97"/>
      <c r="L30" s="95"/>
      <c r="M30" s="95"/>
      <c r="N30" s="95"/>
      <c r="O30" s="95"/>
      <c r="P30" s="95"/>
      <c r="Q30" s="96"/>
      <c r="T30" s="97"/>
      <c r="U30" s="95"/>
      <c r="V30" s="95"/>
      <c r="W30" s="95"/>
      <c r="X30" s="95"/>
      <c r="Y30" s="95"/>
      <c r="Z30" s="96"/>
      <c r="AC30" s="97"/>
      <c r="AD30" s="95"/>
      <c r="AE30" s="95"/>
      <c r="AF30" s="95"/>
      <c r="AG30" s="95"/>
      <c r="AH30" s="95"/>
      <c r="AI30" s="96"/>
    </row>
    <row r="31" spans="2:35" ht="15" customHeight="1">
      <c r="B31" s="97"/>
      <c r="C31" s="95"/>
      <c r="D31" s="95"/>
      <c r="E31" s="95"/>
      <c r="F31" s="95"/>
      <c r="G31" s="95"/>
      <c r="H31" s="96"/>
      <c r="K31" s="97"/>
      <c r="L31" s="95"/>
      <c r="M31" s="95"/>
      <c r="N31" s="95"/>
      <c r="O31" s="95"/>
      <c r="P31" s="95"/>
      <c r="Q31" s="96"/>
      <c r="T31" s="97"/>
      <c r="U31" s="95"/>
      <c r="V31" s="95"/>
      <c r="W31" s="95"/>
      <c r="X31" s="95"/>
      <c r="Y31" s="95"/>
      <c r="Z31" s="96"/>
      <c r="AC31" s="97"/>
      <c r="AD31" s="95"/>
      <c r="AE31" s="95"/>
      <c r="AF31" s="95"/>
      <c r="AG31" s="95"/>
      <c r="AH31" s="95"/>
      <c r="AI31" s="96"/>
    </row>
    <row r="32" spans="2:35" ht="15" customHeight="1">
      <c r="B32" s="97"/>
      <c r="C32" s="95"/>
      <c r="D32" s="95"/>
      <c r="E32" s="95"/>
      <c r="F32" s="95"/>
      <c r="G32" s="95"/>
      <c r="H32" s="96"/>
      <c r="K32" s="97"/>
      <c r="L32" s="95"/>
      <c r="M32" s="95"/>
      <c r="N32" s="95"/>
      <c r="O32" s="95"/>
      <c r="P32" s="95"/>
      <c r="Q32" s="96"/>
      <c r="T32" s="97"/>
      <c r="U32" s="95"/>
      <c r="V32" s="95"/>
      <c r="W32" s="95"/>
      <c r="X32" s="95"/>
      <c r="Y32" s="95"/>
      <c r="Z32" s="96"/>
      <c r="AC32" s="97"/>
      <c r="AD32" s="95"/>
      <c r="AE32" s="95"/>
      <c r="AF32" s="95"/>
      <c r="AG32" s="95"/>
      <c r="AH32" s="95"/>
      <c r="AI32" s="96"/>
    </row>
    <row r="33" spans="2:35" ht="15" customHeight="1">
      <c r="B33" s="98"/>
      <c r="C33" s="99"/>
      <c r="D33" s="99"/>
      <c r="E33" s="99"/>
      <c r="F33" s="99"/>
      <c r="G33" s="99"/>
      <c r="H33" s="100"/>
      <c r="K33" s="98"/>
      <c r="L33" s="99"/>
      <c r="M33" s="99"/>
      <c r="N33" s="99"/>
      <c r="O33" s="99"/>
      <c r="P33" s="99"/>
      <c r="Q33" s="100"/>
      <c r="T33" s="98"/>
      <c r="U33" s="99"/>
      <c r="V33" s="99"/>
      <c r="W33" s="99"/>
      <c r="X33" s="99"/>
      <c r="Y33" s="99"/>
      <c r="Z33" s="100"/>
      <c r="AC33" s="98"/>
      <c r="AD33" s="99"/>
      <c r="AE33" s="99"/>
      <c r="AF33" s="99"/>
      <c r="AG33" s="99"/>
      <c r="AH33" s="99"/>
      <c r="AI33" s="100"/>
    </row>
    <row r="36" spans="2:35" ht="15" customHeight="1">
      <c r="B36" s="89" t="s">
        <v>10</v>
      </c>
      <c r="C36" s="90"/>
      <c r="D36" s="90"/>
      <c r="E36" s="90"/>
      <c r="F36" s="90"/>
      <c r="G36" s="90"/>
      <c r="H36" s="91"/>
      <c r="K36" s="89" t="s">
        <v>11</v>
      </c>
      <c r="L36" s="90"/>
      <c r="M36" s="90"/>
      <c r="N36" s="90"/>
      <c r="O36" s="90"/>
      <c r="P36" s="90"/>
      <c r="Q36" s="91"/>
      <c r="T36" s="89" t="s">
        <v>12</v>
      </c>
      <c r="U36" s="90"/>
      <c r="V36" s="90"/>
      <c r="W36" s="90"/>
      <c r="X36" s="90"/>
      <c r="Y36" s="90"/>
      <c r="Z36" s="91"/>
      <c r="AC36" s="89" t="s">
        <v>13</v>
      </c>
      <c r="AD36" s="90"/>
      <c r="AE36" s="90"/>
      <c r="AF36" s="90"/>
      <c r="AG36" s="90"/>
      <c r="AH36" s="90"/>
      <c r="AI36" s="91"/>
    </row>
    <row r="37" spans="2:35" ht="15" customHeight="1">
      <c r="B37" s="92"/>
      <c r="C37" s="93"/>
      <c r="D37" s="93"/>
      <c r="E37" s="93"/>
      <c r="F37" s="93"/>
      <c r="G37" s="93"/>
      <c r="H37" s="94"/>
      <c r="K37" s="92"/>
      <c r="L37" s="93"/>
      <c r="M37" s="93"/>
      <c r="N37" s="93"/>
      <c r="O37" s="93"/>
      <c r="P37" s="93"/>
      <c r="Q37" s="94"/>
      <c r="T37" s="92"/>
      <c r="U37" s="93"/>
      <c r="V37" s="93"/>
      <c r="W37" s="93"/>
      <c r="X37" s="93"/>
      <c r="Y37" s="93"/>
      <c r="Z37" s="94"/>
      <c r="AC37" s="92"/>
      <c r="AD37" s="93"/>
      <c r="AE37" s="93"/>
      <c r="AF37" s="93"/>
      <c r="AG37" s="93"/>
      <c r="AH37" s="93"/>
      <c r="AI37" s="94"/>
    </row>
    <row r="38" spans="2:35" ht="15" customHeight="1">
      <c r="B38" s="101" t="s">
        <v>14</v>
      </c>
      <c r="C38" s="102"/>
      <c r="D38" s="102"/>
      <c r="E38" s="102"/>
      <c r="F38" s="102"/>
      <c r="G38" s="102"/>
      <c r="H38" s="103"/>
      <c r="K38" s="104" t="s">
        <v>15</v>
      </c>
      <c r="L38" s="102"/>
      <c r="M38" s="102"/>
      <c r="N38" s="102"/>
      <c r="O38" s="102"/>
      <c r="P38" s="102"/>
      <c r="Q38" s="103"/>
      <c r="T38" s="104" t="s">
        <v>15</v>
      </c>
      <c r="U38" s="102"/>
      <c r="V38" s="102"/>
      <c r="W38" s="102"/>
      <c r="X38" s="102"/>
      <c r="Y38" s="102"/>
      <c r="Z38" s="103"/>
      <c r="AC38" s="104" t="s">
        <v>15</v>
      </c>
      <c r="AD38" s="102"/>
      <c r="AE38" s="102"/>
      <c r="AF38" s="102"/>
      <c r="AG38" s="102"/>
      <c r="AH38" s="102"/>
      <c r="AI38" s="103"/>
    </row>
    <row r="39" spans="2:35" ht="15" customHeight="1">
      <c r="B39" s="97"/>
      <c r="C39" s="95"/>
      <c r="D39" s="95"/>
      <c r="E39" s="95"/>
      <c r="F39" s="95"/>
      <c r="G39" s="95"/>
      <c r="H39" s="96"/>
      <c r="K39" s="97"/>
      <c r="L39" s="95"/>
      <c r="M39" s="95"/>
      <c r="N39" s="95"/>
      <c r="O39" s="95"/>
      <c r="P39" s="95"/>
      <c r="Q39" s="96"/>
      <c r="T39" s="97"/>
      <c r="U39" s="95"/>
      <c r="V39" s="95"/>
      <c r="W39" s="95"/>
      <c r="X39" s="95"/>
      <c r="Y39" s="95"/>
      <c r="Z39" s="96"/>
      <c r="AC39" s="97"/>
      <c r="AD39" s="95"/>
      <c r="AE39" s="95"/>
      <c r="AF39" s="95"/>
      <c r="AG39" s="95"/>
      <c r="AH39" s="95"/>
      <c r="AI39" s="96"/>
    </row>
    <row r="40" spans="2:35" ht="15" customHeight="1">
      <c r="B40" s="97"/>
      <c r="C40" s="95"/>
      <c r="D40" s="95"/>
      <c r="E40" s="95"/>
      <c r="F40" s="95"/>
      <c r="G40" s="95"/>
      <c r="H40" s="96"/>
      <c r="K40" s="97"/>
      <c r="L40" s="95"/>
      <c r="M40" s="95"/>
      <c r="N40" s="95"/>
      <c r="O40" s="95"/>
      <c r="P40" s="95"/>
      <c r="Q40" s="96"/>
      <c r="T40" s="97"/>
      <c r="U40" s="95"/>
      <c r="V40" s="95"/>
      <c r="W40" s="95"/>
      <c r="X40" s="95"/>
      <c r="Y40" s="95"/>
      <c r="Z40" s="96"/>
      <c r="AC40" s="97"/>
      <c r="AD40" s="95"/>
      <c r="AE40" s="95"/>
      <c r="AF40" s="95"/>
      <c r="AG40" s="95"/>
      <c r="AH40" s="95"/>
      <c r="AI40" s="96"/>
    </row>
    <row r="41" spans="2:35" ht="15" customHeight="1">
      <c r="B41" s="97"/>
      <c r="C41" s="95"/>
      <c r="D41" s="95"/>
      <c r="E41" s="95"/>
      <c r="F41" s="95"/>
      <c r="G41" s="95"/>
      <c r="H41" s="96"/>
      <c r="K41" s="97"/>
      <c r="L41" s="95"/>
      <c r="M41" s="95"/>
      <c r="N41" s="95"/>
      <c r="O41" s="95"/>
      <c r="P41" s="95"/>
      <c r="Q41" s="96"/>
      <c r="T41" s="97"/>
      <c r="U41" s="95"/>
      <c r="V41" s="95"/>
      <c r="W41" s="95"/>
      <c r="X41" s="95"/>
      <c r="Y41" s="95"/>
      <c r="Z41" s="96"/>
      <c r="AC41" s="97"/>
      <c r="AD41" s="95"/>
      <c r="AE41" s="95"/>
      <c r="AF41" s="95"/>
      <c r="AG41" s="95"/>
      <c r="AH41" s="95"/>
      <c r="AI41" s="96"/>
    </row>
    <row r="42" spans="2:35" ht="15" customHeight="1">
      <c r="B42" s="97"/>
      <c r="C42" s="95"/>
      <c r="D42" s="95"/>
      <c r="E42" s="95"/>
      <c r="F42" s="95"/>
      <c r="G42" s="95"/>
      <c r="H42" s="96"/>
      <c r="K42" s="97"/>
      <c r="L42" s="95"/>
      <c r="M42" s="95"/>
      <c r="N42" s="95"/>
      <c r="O42" s="95"/>
      <c r="P42" s="95"/>
      <c r="Q42" s="96"/>
      <c r="T42" s="97"/>
      <c r="U42" s="95"/>
      <c r="V42" s="95"/>
      <c r="W42" s="95"/>
      <c r="X42" s="95"/>
      <c r="Y42" s="95"/>
      <c r="Z42" s="96"/>
      <c r="AC42" s="97"/>
      <c r="AD42" s="95"/>
      <c r="AE42" s="95"/>
      <c r="AF42" s="95"/>
      <c r="AG42" s="95"/>
      <c r="AH42" s="95"/>
      <c r="AI42" s="96"/>
    </row>
    <row r="43" spans="2:35" ht="15" customHeight="1">
      <c r="B43" s="97"/>
      <c r="C43" s="95"/>
      <c r="D43" s="95"/>
      <c r="E43" s="95"/>
      <c r="F43" s="95"/>
      <c r="G43" s="95"/>
      <c r="H43" s="96"/>
      <c r="K43" s="97"/>
      <c r="L43" s="95"/>
      <c r="M43" s="95"/>
      <c r="N43" s="95"/>
      <c r="O43" s="95"/>
      <c r="P43" s="95"/>
      <c r="Q43" s="96"/>
      <c r="T43" s="97"/>
      <c r="U43" s="95"/>
      <c r="V43" s="95"/>
      <c r="W43" s="95"/>
      <c r="X43" s="95"/>
      <c r="Y43" s="95"/>
      <c r="Z43" s="96"/>
      <c r="AC43" s="97"/>
      <c r="AD43" s="95"/>
      <c r="AE43" s="95"/>
      <c r="AF43" s="95"/>
      <c r="AG43" s="95"/>
      <c r="AH43" s="95"/>
      <c r="AI43" s="96"/>
    </row>
    <row r="44" spans="2:35" ht="15" customHeight="1">
      <c r="B44" s="98"/>
      <c r="C44" s="99"/>
      <c r="D44" s="99"/>
      <c r="E44" s="99"/>
      <c r="F44" s="99"/>
      <c r="G44" s="99"/>
      <c r="H44" s="100"/>
      <c r="K44" s="98"/>
      <c r="L44" s="99"/>
      <c r="M44" s="99"/>
      <c r="N44" s="99"/>
      <c r="O44" s="99"/>
      <c r="P44" s="99"/>
      <c r="Q44" s="100"/>
      <c r="T44" s="98"/>
      <c r="U44" s="99"/>
      <c r="V44" s="99"/>
      <c r="W44" s="99"/>
      <c r="X44" s="99"/>
      <c r="Y44" s="99"/>
      <c r="Z44" s="100"/>
      <c r="AC44" s="98"/>
      <c r="AD44" s="99"/>
      <c r="AE44" s="99"/>
      <c r="AF44" s="99"/>
      <c r="AG44" s="99"/>
      <c r="AH44" s="99"/>
      <c r="AI44" s="100"/>
    </row>
  </sheetData>
  <mergeCells count="18">
    <mergeCell ref="T36:Z37"/>
    <mergeCell ref="T38:Z44"/>
    <mergeCell ref="AC36:AI37"/>
    <mergeCell ref="AC38:AI44"/>
    <mergeCell ref="B25:H26"/>
    <mergeCell ref="B27:H33"/>
    <mergeCell ref="K25:Q26"/>
    <mergeCell ref="K27:Q33"/>
    <mergeCell ref="B36:H37"/>
    <mergeCell ref="B38:H44"/>
    <mergeCell ref="K36:Q37"/>
    <mergeCell ref="K38:Q44"/>
    <mergeCell ref="O6:U22"/>
    <mergeCell ref="O2:U5"/>
    <mergeCell ref="T25:Z26"/>
    <mergeCell ref="T27:Z33"/>
    <mergeCell ref="AC25:AI26"/>
    <mergeCell ref="AC27:AI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ECDE-DD61-4D1B-A515-B6F3577627E6}">
  <dimension ref="B2:I330"/>
  <sheetViews>
    <sheetView topLeftCell="A3" workbookViewId="0">
      <selection activeCell="D310" sqref="D310"/>
    </sheetView>
  </sheetViews>
  <sheetFormatPr defaultRowHeight="26.25" customHeight="1"/>
  <cols>
    <col min="2" max="7" width="22.7109375" customWidth="1"/>
    <col min="8" max="9" width="22.85546875" customWidth="1"/>
  </cols>
  <sheetData>
    <row r="2" spans="2:9" ht="26.25" customHeight="1">
      <c r="B2" s="1" t="s">
        <v>16</v>
      </c>
      <c r="C2" s="2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24" t="s">
        <v>22</v>
      </c>
      <c r="I2" s="23" t="s">
        <v>23</v>
      </c>
    </row>
    <row r="3" spans="2:9" ht="26.25" customHeight="1">
      <c r="B3" s="9">
        <v>46237</v>
      </c>
      <c r="C3" s="10" t="s">
        <v>24</v>
      </c>
      <c r="D3" s="11">
        <v>6</v>
      </c>
      <c r="E3" s="12">
        <v>270</v>
      </c>
      <c r="F3" s="12">
        <v>253</v>
      </c>
      <c r="G3" s="12">
        <f>(E3-F3)*D3</f>
        <v>102</v>
      </c>
      <c r="H3" s="20" t="str">
        <f>TEXT(B3,"dddd")</f>
        <v>Monday</v>
      </c>
      <c r="I3" s="25" t="str">
        <f t="shared" ref="I3:I34" si="0">"Week " &amp; (INT((B3 - DATE(2026,8,3)) / 7) + 1)</f>
        <v>Week 1</v>
      </c>
    </row>
    <row r="4" spans="2:9" ht="26.25" customHeight="1">
      <c r="B4" s="9">
        <v>46237</v>
      </c>
      <c r="C4" s="5" t="s">
        <v>25</v>
      </c>
      <c r="D4" s="6">
        <v>1</v>
      </c>
      <c r="E4" s="12">
        <v>1100</v>
      </c>
      <c r="F4" s="12">
        <v>980</v>
      </c>
      <c r="G4" s="12">
        <f t="shared" ref="G4:G56" si="1">(E4-F4)*D4</f>
        <v>120</v>
      </c>
      <c r="H4" s="20" t="str">
        <f t="shared" ref="H4:H56" si="2">TEXT(B4,"dddd")</f>
        <v>Monday</v>
      </c>
      <c r="I4" s="19" t="str">
        <f t="shared" si="0"/>
        <v>Week 1</v>
      </c>
    </row>
    <row r="5" spans="2:9" ht="26.25" customHeight="1">
      <c r="B5" s="9">
        <v>46237</v>
      </c>
      <c r="C5" s="5" t="s">
        <v>26</v>
      </c>
      <c r="D5" s="6">
        <v>2</v>
      </c>
      <c r="E5" s="12">
        <v>260</v>
      </c>
      <c r="F5" s="12">
        <v>234</v>
      </c>
      <c r="G5" s="12">
        <f t="shared" si="1"/>
        <v>52</v>
      </c>
      <c r="H5" s="20" t="str">
        <f t="shared" si="2"/>
        <v>Monday</v>
      </c>
      <c r="I5" s="19" t="str">
        <f t="shared" si="0"/>
        <v>Week 1</v>
      </c>
    </row>
    <row r="6" spans="2:9" ht="26.25" customHeight="1">
      <c r="B6" s="9">
        <v>46237</v>
      </c>
      <c r="C6" s="5" t="s">
        <v>27</v>
      </c>
      <c r="D6" s="6">
        <v>1</v>
      </c>
      <c r="E6" s="12">
        <v>1300</v>
      </c>
      <c r="F6" s="12">
        <v>1180</v>
      </c>
      <c r="G6" s="12">
        <f t="shared" si="1"/>
        <v>120</v>
      </c>
      <c r="H6" s="20" t="str">
        <f t="shared" si="2"/>
        <v>Monday</v>
      </c>
      <c r="I6" s="19" t="str">
        <f t="shared" si="0"/>
        <v>Week 1</v>
      </c>
    </row>
    <row r="7" spans="2:9" ht="26.25" customHeight="1">
      <c r="B7" s="9">
        <v>46237</v>
      </c>
      <c r="C7" s="5" t="s">
        <v>28</v>
      </c>
      <c r="D7" s="6">
        <v>4</v>
      </c>
      <c r="E7" s="12">
        <v>40</v>
      </c>
      <c r="F7" s="12">
        <v>33</v>
      </c>
      <c r="G7" s="12">
        <f t="shared" si="1"/>
        <v>28</v>
      </c>
      <c r="H7" s="20" t="str">
        <f t="shared" si="2"/>
        <v>Monday</v>
      </c>
      <c r="I7" s="19" t="str">
        <f t="shared" si="0"/>
        <v>Week 1</v>
      </c>
    </row>
    <row r="8" spans="2:9" ht="26.25" customHeight="1">
      <c r="B8" s="9">
        <v>46237</v>
      </c>
      <c r="C8" s="5" t="s">
        <v>29</v>
      </c>
      <c r="D8" s="6">
        <v>8</v>
      </c>
      <c r="E8" s="12">
        <v>10</v>
      </c>
      <c r="F8" s="12">
        <v>9.1</v>
      </c>
      <c r="G8" s="12">
        <f t="shared" si="1"/>
        <v>7.2000000000000028</v>
      </c>
      <c r="H8" s="20" t="str">
        <f t="shared" si="2"/>
        <v>Monday</v>
      </c>
      <c r="I8" s="19" t="str">
        <f t="shared" si="0"/>
        <v>Week 1</v>
      </c>
    </row>
    <row r="9" spans="2:9" ht="26.25" customHeight="1">
      <c r="B9" s="9">
        <v>46237</v>
      </c>
      <c r="C9" s="5" t="s">
        <v>30</v>
      </c>
      <c r="D9" s="6">
        <v>1</v>
      </c>
      <c r="E9" s="12">
        <v>350</v>
      </c>
      <c r="F9" s="12">
        <v>280</v>
      </c>
      <c r="G9" s="12">
        <f t="shared" si="1"/>
        <v>70</v>
      </c>
      <c r="H9" s="20" t="str">
        <f t="shared" si="2"/>
        <v>Monday</v>
      </c>
      <c r="I9" s="19" t="str">
        <f t="shared" si="0"/>
        <v>Week 1</v>
      </c>
    </row>
    <row r="10" spans="2:9" ht="26.25" customHeight="1">
      <c r="B10" s="9">
        <v>46237</v>
      </c>
      <c r="C10" s="5" t="s">
        <v>31</v>
      </c>
      <c r="D10" s="6">
        <v>6</v>
      </c>
      <c r="E10" s="12">
        <v>60</v>
      </c>
      <c r="F10" s="12">
        <v>51</v>
      </c>
      <c r="G10" s="12">
        <f t="shared" si="1"/>
        <v>54</v>
      </c>
      <c r="H10" s="20" t="str">
        <f t="shared" si="2"/>
        <v>Monday</v>
      </c>
      <c r="I10" s="19" t="str">
        <f t="shared" si="0"/>
        <v>Week 1</v>
      </c>
    </row>
    <row r="11" spans="2:9" ht="26.25" customHeight="1">
      <c r="B11" s="9">
        <v>46237</v>
      </c>
      <c r="C11" s="5" t="s">
        <v>32</v>
      </c>
      <c r="D11" s="6">
        <v>3</v>
      </c>
      <c r="E11" s="12">
        <v>60</v>
      </c>
      <c r="F11" s="12">
        <v>57</v>
      </c>
      <c r="G11" s="12">
        <f t="shared" si="1"/>
        <v>9</v>
      </c>
      <c r="H11" s="20" t="str">
        <f t="shared" si="2"/>
        <v>Monday</v>
      </c>
      <c r="I11" s="19" t="str">
        <f t="shared" si="0"/>
        <v>Week 1</v>
      </c>
    </row>
    <row r="12" spans="2:9" ht="26.25" customHeight="1">
      <c r="B12" s="9">
        <v>46238</v>
      </c>
      <c r="C12" s="5" t="s">
        <v>33</v>
      </c>
      <c r="D12" s="6">
        <v>6</v>
      </c>
      <c r="E12" s="12">
        <v>550</v>
      </c>
      <c r="F12" s="12">
        <v>523</v>
      </c>
      <c r="G12" s="12">
        <f t="shared" si="1"/>
        <v>162</v>
      </c>
      <c r="H12" s="20" t="str">
        <f t="shared" si="2"/>
        <v>Tuesday</v>
      </c>
      <c r="I12" s="19" t="str">
        <f t="shared" si="0"/>
        <v>Week 1</v>
      </c>
    </row>
    <row r="13" spans="2:9" ht="26.25" customHeight="1">
      <c r="B13" s="9">
        <v>46238</v>
      </c>
      <c r="C13" s="5" t="s">
        <v>34</v>
      </c>
      <c r="D13" s="6">
        <v>6</v>
      </c>
      <c r="E13" s="12">
        <v>90</v>
      </c>
      <c r="F13" s="12">
        <v>78</v>
      </c>
      <c r="G13" s="12">
        <f t="shared" si="1"/>
        <v>72</v>
      </c>
      <c r="H13" s="20" t="str">
        <f t="shared" si="2"/>
        <v>Tuesday</v>
      </c>
      <c r="I13" s="19" t="str">
        <f t="shared" si="0"/>
        <v>Week 1</v>
      </c>
    </row>
    <row r="14" spans="2:9" ht="26.25" customHeight="1">
      <c r="B14" s="9">
        <v>46238</v>
      </c>
      <c r="C14" s="5" t="s">
        <v>35</v>
      </c>
      <c r="D14" s="6">
        <v>4</v>
      </c>
      <c r="E14" s="12">
        <v>110</v>
      </c>
      <c r="F14" s="12">
        <v>89</v>
      </c>
      <c r="G14" s="12">
        <f t="shared" si="1"/>
        <v>84</v>
      </c>
      <c r="H14" s="20" t="str">
        <f t="shared" si="2"/>
        <v>Tuesday</v>
      </c>
      <c r="I14" s="19" t="str">
        <f t="shared" si="0"/>
        <v>Week 1</v>
      </c>
    </row>
    <row r="15" spans="2:9" ht="26.25" customHeight="1">
      <c r="B15" s="9">
        <v>46238</v>
      </c>
      <c r="C15" s="5" t="s">
        <v>36</v>
      </c>
      <c r="D15" s="6">
        <v>2</v>
      </c>
      <c r="E15" s="12">
        <v>140</v>
      </c>
      <c r="F15" s="12">
        <v>125</v>
      </c>
      <c r="G15" s="12">
        <f t="shared" si="1"/>
        <v>30</v>
      </c>
      <c r="H15" s="20" t="str">
        <f t="shared" si="2"/>
        <v>Tuesday</v>
      </c>
      <c r="I15" s="19" t="str">
        <f t="shared" si="0"/>
        <v>Week 1</v>
      </c>
    </row>
    <row r="16" spans="2:9" ht="26.25" customHeight="1">
      <c r="B16" s="9">
        <v>46238</v>
      </c>
      <c r="C16" s="5" t="s">
        <v>37</v>
      </c>
      <c r="D16" s="6">
        <v>2</v>
      </c>
      <c r="E16" s="12">
        <v>35</v>
      </c>
      <c r="F16" s="12">
        <v>28</v>
      </c>
      <c r="G16" s="12">
        <f t="shared" si="1"/>
        <v>14</v>
      </c>
      <c r="H16" s="20" t="str">
        <f t="shared" si="2"/>
        <v>Tuesday</v>
      </c>
      <c r="I16" s="19" t="str">
        <f t="shared" si="0"/>
        <v>Week 1</v>
      </c>
    </row>
    <row r="17" spans="2:9" ht="26.25" customHeight="1">
      <c r="B17" s="9">
        <v>46238</v>
      </c>
      <c r="C17" s="5" t="s">
        <v>31</v>
      </c>
      <c r="D17" s="6">
        <v>3</v>
      </c>
      <c r="E17" s="12">
        <v>60</v>
      </c>
      <c r="F17" s="12">
        <v>51</v>
      </c>
      <c r="G17" s="12">
        <f t="shared" si="1"/>
        <v>27</v>
      </c>
      <c r="H17" s="20" t="str">
        <f t="shared" si="2"/>
        <v>Tuesday</v>
      </c>
      <c r="I17" s="19" t="str">
        <f t="shared" si="0"/>
        <v>Week 1</v>
      </c>
    </row>
    <row r="18" spans="2:9" ht="26.25" customHeight="1">
      <c r="B18" s="9">
        <v>46238</v>
      </c>
      <c r="C18" s="5" t="s">
        <v>38</v>
      </c>
      <c r="D18" s="6">
        <v>7</v>
      </c>
      <c r="E18" s="12">
        <v>10</v>
      </c>
      <c r="F18" s="12">
        <v>8</v>
      </c>
      <c r="G18" s="12">
        <f t="shared" si="1"/>
        <v>14</v>
      </c>
      <c r="H18" s="20" t="str">
        <f t="shared" si="2"/>
        <v>Tuesday</v>
      </c>
      <c r="I18" s="19" t="str">
        <f t="shared" si="0"/>
        <v>Week 1</v>
      </c>
    </row>
    <row r="19" spans="2:9" ht="26.25" customHeight="1">
      <c r="B19" s="9">
        <v>46238</v>
      </c>
      <c r="C19" s="5" t="s">
        <v>39</v>
      </c>
      <c r="D19" s="6">
        <v>2</v>
      </c>
      <c r="E19" s="12">
        <v>700</v>
      </c>
      <c r="F19" s="12">
        <v>560</v>
      </c>
      <c r="G19" s="12">
        <f t="shared" si="1"/>
        <v>280</v>
      </c>
      <c r="H19" s="20" t="str">
        <f t="shared" si="2"/>
        <v>Tuesday</v>
      </c>
      <c r="I19" s="19" t="str">
        <f t="shared" si="0"/>
        <v>Week 1</v>
      </c>
    </row>
    <row r="20" spans="2:9" ht="26.25" customHeight="1">
      <c r="B20" s="9">
        <v>46239</v>
      </c>
      <c r="C20" s="5" t="s">
        <v>40</v>
      </c>
      <c r="D20" s="6">
        <v>2</v>
      </c>
      <c r="E20" s="12">
        <v>330</v>
      </c>
      <c r="F20" s="12">
        <v>297</v>
      </c>
      <c r="G20" s="12">
        <f t="shared" si="1"/>
        <v>66</v>
      </c>
      <c r="H20" s="20" t="str">
        <f t="shared" si="2"/>
        <v>Wednesday</v>
      </c>
      <c r="I20" s="19" t="str">
        <f t="shared" si="0"/>
        <v>Week 1</v>
      </c>
    </row>
    <row r="21" spans="2:9" ht="26.25" customHeight="1">
      <c r="B21" s="9">
        <v>46239</v>
      </c>
      <c r="C21" s="5" t="s">
        <v>41</v>
      </c>
      <c r="D21" s="6">
        <v>5</v>
      </c>
      <c r="E21" s="12">
        <v>50</v>
      </c>
      <c r="F21" s="12">
        <v>39</v>
      </c>
      <c r="G21" s="12">
        <f t="shared" si="1"/>
        <v>55</v>
      </c>
      <c r="H21" s="20" t="str">
        <f t="shared" si="2"/>
        <v>Wednesday</v>
      </c>
      <c r="I21" s="19" t="str">
        <f t="shared" si="0"/>
        <v>Week 1</v>
      </c>
    </row>
    <row r="22" spans="2:9" ht="26.25" customHeight="1">
      <c r="B22" s="9">
        <v>46239</v>
      </c>
      <c r="C22" s="5" t="s">
        <v>42</v>
      </c>
      <c r="D22" s="6">
        <v>6</v>
      </c>
      <c r="E22" s="12">
        <v>60</v>
      </c>
      <c r="F22" s="12">
        <v>52</v>
      </c>
      <c r="G22" s="12">
        <f t="shared" si="1"/>
        <v>48</v>
      </c>
      <c r="H22" s="20" t="str">
        <f t="shared" si="2"/>
        <v>Wednesday</v>
      </c>
      <c r="I22" s="19" t="str">
        <f t="shared" si="0"/>
        <v>Week 1</v>
      </c>
    </row>
    <row r="23" spans="2:9" ht="26.25" customHeight="1">
      <c r="B23" s="9">
        <v>46239</v>
      </c>
      <c r="C23" s="5" t="s">
        <v>43</v>
      </c>
      <c r="D23" s="6">
        <v>2</v>
      </c>
      <c r="E23" s="12">
        <v>110</v>
      </c>
      <c r="F23" s="12">
        <v>92</v>
      </c>
      <c r="G23" s="12">
        <f t="shared" si="1"/>
        <v>36</v>
      </c>
      <c r="H23" s="20" t="str">
        <f t="shared" si="2"/>
        <v>Wednesday</v>
      </c>
      <c r="I23" s="19" t="str">
        <f t="shared" si="0"/>
        <v>Week 1</v>
      </c>
    </row>
    <row r="24" spans="2:9" ht="26.25" customHeight="1">
      <c r="B24" s="9">
        <v>46239</v>
      </c>
      <c r="C24" s="5" t="s">
        <v>37</v>
      </c>
      <c r="D24" s="6">
        <v>2</v>
      </c>
      <c r="E24" s="12">
        <v>35</v>
      </c>
      <c r="F24" s="12">
        <v>28</v>
      </c>
      <c r="G24" s="12">
        <f t="shared" si="1"/>
        <v>14</v>
      </c>
      <c r="H24" s="20" t="str">
        <f t="shared" si="2"/>
        <v>Wednesday</v>
      </c>
      <c r="I24" s="19" t="str">
        <f t="shared" si="0"/>
        <v>Week 1</v>
      </c>
    </row>
    <row r="25" spans="2:9" ht="26.25" customHeight="1">
      <c r="B25" s="9">
        <v>46239</v>
      </c>
      <c r="C25" s="5" t="s">
        <v>44</v>
      </c>
      <c r="D25" s="6">
        <v>6</v>
      </c>
      <c r="E25" s="12">
        <v>20</v>
      </c>
      <c r="F25" s="12">
        <v>16.5</v>
      </c>
      <c r="G25" s="12">
        <f t="shared" si="1"/>
        <v>21</v>
      </c>
      <c r="H25" s="20" t="str">
        <f t="shared" si="2"/>
        <v>Wednesday</v>
      </c>
      <c r="I25" s="19" t="str">
        <f t="shared" si="0"/>
        <v>Week 1</v>
      </c>
    </row>
    <row r="26" spans="2:9" ht="26.25" customHeight="1">
      <c r="B26" s="9">
        <v>46239</v>
      </c>
      <c r="C26" s="5" t="s">
        <v>45</v>
      </c>
      <c r="D26" s="6">
        <v>2</v>
      </c>
      <c r="E26" s="12">
        <v>50</v>
      </c>
      <c r="F26" s="12">
        <v>34</v>
      </c>
      <c r="G26" s="12">
        <f t="shared" si="1"/>
        <v>32</v>
      </c>
      <c r="H26" s="20" t="str">
        <f t="shared" si="2"/>
        <v>Wednesday</v>
      </c>
      <c r="I26" s="19" t="str">
        <f t="shared" si="0"/>
        <v>Week 1</v>
      </c>
    </row>
    <row r="27" spans="2:9" ht="26.25" customHeight="1">
      <c r="B27" s="9">
        <v>46240</v>
      </c>
      <c r="C27" s="5" t="s">
        <v>46</v>
      </c>
      <c r="D27" s="6">
        <v>2</v>
      </c>
      <c r="E27" s="12">
        <v>70</v>
      </c>
      <c r="F27" s="12">
        <v>46</v>
      </c>
      <c r="G27" s="12">
        <f t="shared" si="1"/>
        <v>48</v>
      </c>
      <c r="H27" s="20" t="str">
        <f t="shared" si="2"/>
        <v>Thursday</v>
      </c>
      <c r="I27" s="19" t="str">
        <f t="shared" si="0"/>
        <v>Week 1</v>
      </c>
    </row>
    <row r="28" spans="2:9" ht="26.25" customHeight="1">
      <c r="B28" s="9">
        <v>46240</v>
      </c>
      <c r="C28" s="5" t="s">
        <v>47</v>
      </c>
      <c r="D28" s="6">
        <v>2</v>
      </c>
      <c r="E28" s="12">
        <v>110</v>
      </c>
      <c r="F28" s="12">
        <v>63</v>
      </c>
      <c r="G28" s="12">
        <f t="shared" si="1"/>
        <v>94</v>
      </c>
      <c r="H28" s="20" t="str">
        <f t="shared" si="2"/>
        <v>Thursday</v>
      </c>
      <c r="I28" s="19" t="str">
        <f t="shared" si="0"/>
        <v>Week 1</v>
      </c>
    </row>
    <row r="29" spans="2:9" ht="26.25" customHeight="1">
      <c r="B29" s="9">
        <v>46240</v>
      </c>
      <c r="C29" s="5" t="s">
        <v>48</v>
      </c>
      <c r="D29" s="6">
        <v>2</v>
      </c>
      <c r="E29" s="12">
        <v>1900</v>
      </c>
      <c r="F29" s="12">
        <v>1772</v>
      </c>
      <c r="G29" s="12">
        <f t="shared" si="1"/>
        <v>256</v>
      </c>
      <c r="H29" s="20" t="str">
        <f t="shared" si="2"/>
        <v>Thursday</v>
      </c>
      <c r="I29" s="19" t="str">
        <f t="shared" si="0"/>
        <v>Week 1</v>
      </c>
    </row>
    <row r="30" spans="2:9" ht="26.25" customHeight="1">
      <c r="B30" s="9">
        <v>46240</v>
      </c>
      <c r="C30" s="5" t="s">
        <v>49</v>
      </c>
      <c r="D30" s="6">
        <v>2</v>
      </c>
      <c r="E30" s="12">
        <v>90</v>
      </c>
      <c r="F30" s="12">
        <v>71</v>
      </c>
      <c r="G30" s="12">
        <f t="shared" si="1"/>
        <v>38</v>
      </c>
      <c r="H30" s="20" t="str">
        <f t="shared" si="2"/>
        <v>Thursday</v>
      </c>
      <c r="I30" s="19" t="str">
        <f t="shared" si="0"/>
        <v>Week 1</v>
      </c>
    </row>
    <row r="31" spans="2:9" ht="26.25" customHeight="1">
      <c r="B31" s="9">
        <v>46240</v>
      </c>
      <c r="C31" s="5" t="s">
        <v>50</v>
      </c>
      <c r="D31" s="6">
        <v>4</v>
      </c>
      <c r="E31" s="12">
        <v>120</v>
      </c>
      <c r="F31" s="12">
        <v>96</v>
      </c>
      <c r="G31" s="12">
        <f t="shared" si="1"/>
        <v>96</v>
      </c>
      <c r="H31" s="20" t="str">
        <f t="shared" si="2"/>
        <v>Thursday</v>
      </c>
      <c r="I31" s="19" t="str">
        <f t="shared" si="0"/>
        <v>Week 1</v>
      </c>
    </row>
    <row r="32" spans="2:9" ht="26.25" customHeight="1">
      <c r="B32" s="9">
        <v>46240</v>
      </c>
      <c r="C32" s="5" t="s">
        <v>51</v>
      </c>
      <c r="D32" s="6">
        <v>2</v>
      </c>
      <c r="E32" s="12">
        <v>40</v>
      </c>
      <c r="F32" s="12">
        <v>27</v>
      </c>
      <c r="G32" s="12">
        <f t="shared" si="1"/>
        <v>26</v>
      </c>
      <c r="H32" s="20" t="str">
        <f t="shared" si="2"/>
        <v>Thursday</v>
      </c>
      <c r="I32" s="19" t="str">
        <f t="shared" si="0"/>
        <v>Week 1</v>
      </c>
    </row>
    <row r="33" spans="2:9" ht="26.25" customHeight="1">
      <c r="B33" s="9">
        <v>46241</v>
      </c>
      <c r="C33" s="5" t="s">
        <v>24</v>
      </c>
      <c r="D33" s="6">
        <v>8</v>
      </c>
      <c r="E33" s="12">
        <v>270</v>
      </c>
      <c r="F33" s="12">
        <v>253</v>
      </c>
      <c r="G33" s="12">
        <f t="shared" si="1"/>
        <v>136</v>
      </c>
      <c r="H33" s="20" t="str">
        <f t="shared" si="2"/>
        <v>Friday</v>
      </c>
      <c r="I33" s="19" t="str">
        <f t="shared" si="0"/>
        <v>Week 1</v>
      </c>
    </row>
    <row r="34" spans="2:9" ht="26.25" customHeight="1">
      <c r="B34" s="9">
        <v>46241</v>
      </c>
      <c r="C34" s="5" t="s">
        <v>52</v>
      </c>
      <c r="D34" s="6">
        <v>15</v>
      </c>
      <c r="E34" s="12">
        <v>30</v>
      </c>
      <c r="F34" s="12">
        <v>23.5</v>
      </c>
      <c r="G34" s="12">
        <f t="shared" si="1"/>
        <v>97.5</v>
      </c>
      <c r="H34" s="20" t="str">
        <f t="shared" si="2"/>
        <v>Friday</v>
      </c>
      <c r="I34" s="19" t="str">
        <f t="shared" si="0"/>
        <v>Week 1</v>
      </c>
    </row>
    <row r="35" spans="2:9" ht="26.25" customHeight="1">
      <c r="B35" s="9">
        <v>46241</v>
      </c>
      <c r="C35" s="5" t="s">
        <v>53</v>
      </c>
      <c r="D35" s="6">
        <v>8</v>
      </c>
      <c r="E35" s="12">
        <v>25</v>
      </c>
      <c r="F35" s="12">
        <v>22</v>
      </c>
      <c r="G35" s="12">
        <f t="shared" si="1"/>
        <v>24</v>
      </c>
      <c r="H35" s="20" t="str">
        <f t="shared" si="2"/>
        <v>Friday</v>
      </c>
      <c r="I35" s="19" t="str">
        <f t="shared" ref="I35:I58" si="3">"Week " &amp; (INT((B35 - DATE(2026,8,3)) / 7) + 1)</f>
        <v>Week 1</v>
      </c>
    </row>
    <row r="36" spans="2:9" ht="26.25" customHeight="1">
      <c r="B36" s="9">
        <v>46241</v>
      </c>
      <c r="C36" s="5" t="s">
        <v>54</v>
      </c>
      <c r="D36" s="6">
        <v>2</v>
      </c>
      <c r="E36" s="12">
        <v>160</v>
      </c>
      <c r="F36" s="12">
        <v>122</v>
      </c>
      <c r="G36" s="12">
        <f t="shared" si="1"/>
        <v>76</v>
      </c>
      <c r="H36" s="20" t="str">
        <f t="shared" si="2"/>
        <v>Friday</v>
      </c>
      <c r="I36" s="19" t="str">
        <f t="shared" si="3"/>
        <v>Week 1</v>
      </c>
    </row>
    <row r="37" spans="2:9" ht="26.25" customHeight="1">
      <c r="B37" s="9">
        <v>46241</v>
      </c>
      <c r="C37" s="5" t="s">
        <v>55</v>
      </c>
      <c r="D37" s="6">
        <v>20</v>
      </c>
      <c r="E37" s="12">
        <v>4</v>
      </c>
      <c r="F37" s="12">
        <v>1.6</v>
      </c>
      <c r="G37" s="12">
        <f t="shared" si="1"/>
        <v>48</v>
      </c>
      <c r="H37" s="20" t="str">
        <f t="shared" si="2"/>
        <v>Friday</v>
      </c>
      <c r="I37" s="19" t="str">
        <f t="shared" si="3"/>
        <v>Week 1</v>
      </c>
    </row>
    <row r="38" spans="2:9" ht="26.25" customHeight="1">
      <c r="B38" s="9">
        <v>46241</v>
      </c>
      <c r="C38" s="5" t="s">
        <v>56</v>
      </c>
      <c r="D38" s="6">
        <v>1</v>
      </c>
      <c r="E38" s="12">
        <v>1200</v>
      </c>
      <c r="F38" s="12">
        <v>980</v>
      </c>
      <c r="G38" s="12">
        <f t="shared" si="1"/>
        <v>220</v>
      </c>
      <c r="H38" s="20" t="str">
        <f t="shared" si="2"/>
        <v>Friday</v>
      </c>
      <c r="I38" s="19" t="str">
        <f t="shared" si="3"/>
        <v>Week 1</v>
      </c>
    </row>
    <row r="39" spans="2:9" ht="26.25" customHeight="1">
      <c r="B39" s="9">
        <v>46242</v>
      </c>
      <c r="C39" s="5" t="s">
        <v>57</v>
      </c>
      <c r="D39" s="6">
        <v>3</v>
      </c>
      <c r="E39" s="12">
        <v>50</v>
      </c>
      <c r="F39" s="12">
        <v>39.5</v>
      </c>
      <c r="G39" s="12">
        <f t="shared" si="1"/>
        <v>31.5</v>
      </c>
      <c r="H39" s="20" t="str">
        <f t="shared" si="2"/>
        <v>Saturday</v>
      </c>
      <c r="I39" s="19" t="str">
        <f t="shared" si="3"/>
        <v>Week 1</v>
      </c>
    </row>
    <row r="40" spans="2:9" ht="26.25" customHeight="1">
      <c r="B40" s="9">
        <v>46242</v>
      </c>
      <c r="C40" s="5" t="s">
        <v>58</v>
      </c>
      <c r="D40" s="6">
        <v>6</v>
      </c>
      <c r="E40" s="12">
        <v>10</v>
      </c>
      <c r="F40" s="12">
        <v>9.1</v>
      </c>
      <c r="G40" s="12">
        <f t="shared" si="1"/>
        <v>5.4000000000000021</v>
      </c>
      <c r="H40" s="20" t="str">
        <f t="shared" si="2"/>
        <v>Saturday</v>
      </c>
      <c r="I40" s="19" t="str">
        <f t="shared" si="3"/>
        <v>Week 1</v>
      </c>
    </row>
    <row r="41" spans="2:9" ht="26.25" customHeight="1">
      <c r="B41" s="9">
        <v>46242</v>
      </c>
      <c r="C41" s="5" t="s">
        <v>59</v>
      </c>
      <c r="D41" s="6">
        <v>2</v>
      </c>
      <c r="E41" s="12">
        <v>110</v>
      </c>
      <c r="F41" s="12">
        <v>73</v>
      </c>
      <c r="G41" s="12">
        <f t="shared" si="1"/>
        <v>74</v>
      </c>
      <c r="H41" s="20" t="str">
        <f t="shared" si="2"/>
        <v>Saturday</v>
      </c>
      <c r="I41" s="19" t="str">
        <f t="shared" si="3"/>
        <v>Week 1</v>
      </c>
    </row>
    <row r="42" spans="2:9" ht="26.25" customHeight="1">
      <c r="B42" s="9">
        <v>46242</v>
      </c>
      <c r="C42" s="5" t="s">
        <v>60</v>
      </c>
      <c r="D42" s="6">
        <v>3</v>
      </c>
      <c r="E42" s="12">
        <v>130</v>
      </c>
      <c r="F42" s="12">
        <v>112</v>
      </c>
      <c r="G42" s="12">
        <f t="shared" si="1"/>
        <v>54</v>
      </c>
      <c r="H42" s="20" t="str">
        <f t="shared" si="2"/>
        <v>Saturday</v>
      </c>
      <c r="I42" s="19" t="str">
        <f t="shared" si="3"/>
        <v>Week 1</v>
      </c>
    </row>
    <row r="43" spans="2:9" ht="26.25" customHeight="1">
      <c r="B43" s="9">
        <v>46242</v>
      </c>
      <c r="C43" s="5" t="s">
        <v>31</v>
      </c>
      <c r="D43" s="6">
        <v>5</v>
      </c>
      <c r="E43" s="12">
        <v>60</v>
      </c>
      <c r="F43" s="12">
        <v>51</v>
      </c>
      <c r="G43" s="12">
        <f t="shared" si="1"/>
        <v>45</v>
      </c>
      <c r="H43" s="20" t="str">
        <f t="shared" si="2"/>
        <v>Saturday</v>
      </c>
      <c r="I43" s="19" t="str">
        <f t="shared" si="3"/>
        <v>Week 1</v>
      </c>
    </row>
    <row r="44" spans="2:9" ht="26.25" customHeight="1">
      <c r="B44" s="9">
        <v>46242</v>
      </c>
      <c r="C44" s="5" t="s">
        <v>58</v>
      </c>
      <c r="D44" s="6">
        <v>15</v>
      </c>
      <c r="E44" s="12">
        <v>10</v>
      </c>
      <c r="F44" s="12">
        <v>9.1</v>
      </c>
      <c r="G44" s="12">
        <f t="shared" si="1"/>
        <v>13.500000000000005</v>
      </c>
      <c r="H44" s="20" t="str">
        <f t="shared" si="2"/>
        <v>Saturday</v>
      </c>
      <c r="I44" s="19" t="str">
        <f t="shared" si="3"/>
        <v>Week 1</v>
      </c>
    </row>
    <row r="45" spans="2:9" ht="26.25" customHeight="1">
      <c r="B45" s="9">
        <v>46242</v>
      </c>
      <c r="C45" s="5" t="s">
        <v>39</v>
      </c>
      <c r="D45" s="6">
        <v>2</v>
      </c>
      <c r="E45" s="12">
        <v>420</v>
      </c>
      <c r="F45" s="12">
        <v>370</v>
      </c>
      <c r="G45" s="12">
        <f t="shared" si="1"/>
        <v>100</v>
      </c>
      <c r="H45" s="20" t="str">
        <f t="shared" si="2"/>
        <v>Saturday</v>
      </c>
      <c r="I45" s="19" t="str">
        <f t="shared" si="3"/>
        <v>Week 1</v>
      </c>
    </row>
    <row r="46" spans="2:9" ht="26.25" customHeight="1">
      <c r="B46" s="9">
        <v>46242</v>
      </c>
      <c r="C46" s="5" t="s">
        <v>28</v>
      </c>
      <c r="D46" s="6">
        <v>6</v>
      </c>
      <c r="E46" s="12">
        <v>20</v>
      </c>
      <c r="F46" s="12">
        <v>14</v>
      </c>
      <c r="G46" s="12">
        <f t="shared" si="1"/>
        <v>36</v>
      </c>
      <c r="H46" s="20" t="str">
        <f t="shared" si="2"/>
        <v>Saturday</v>
      </c>
      <c r="I46" s="19" t="str">
        <f t="shared" si="3"/>
        <v>Week 1</v>
      </c>
    </row>
    <row r="47" spans="2:9" ht="26.25" customHeight="1">
      <c r="B47" s="9">
        <v>46242</v>
      </c>
      <c r="C47" s="5" t="s">
        <v>61</v>
      </c>
      <c r="D47" s="6">
        <v>1</v>
      </c>
      <c r="E47" s="12">
        <v>380</v>
      </c>
      <c r="F47" s="12">
        <v>340</v>
      </c>
      <c r="G47" s="12">
        <f t="shared" si="1"/>
        <v>40</v>
      </c>
      <c r="H47" s="20" t="str">
        <f t="shared" si="2"/>
        <v>Saturday</v>
      </c>
      <c r="I47" s="19" t="str">
        <f t="shared" si="3"/>
        <v>Week 1</v>
      </c>
    </row>
    <row r="48" spans="2:9" ht="26.25" customHeight="1">
      <c r="B48" s="9">
        <v>46243</v>
      </c>
      <c r="C48" s="5" t="s">
        <v>27</v>
      </c>
      <c r="D48" s="6">
        <v>2</v>
      </c>
      <c r="E48" s="12">
        <v>1300</v>
      </c>
      <c r="F48" s="12">
        <v>1125</v>
      </c>
      <c r="G48" s="12">
        <f t="shared" si="1"/>
        <v>350</v>
      </c>
      <c r="H48" s="20" t="str">
        <f t="shared" si="2"/>
        <v>Sunday</v>
      </c>
      <c r="I48" s="19" t="str">
        <f t="shared" si="3"/>
        <v>Week 1</v>
      </c>
    </row>
    <row r="49" spans="2:9" ht="26.25" customHeight="1">
      <c r="B49" s="9">
        <v>46243</v>
      </c>
      <c r="C49" s="5" t="s">
        <v>32</v>
      </c>
      <c r="D49" s="5">
        <v>1</v>
      </c>
      <c r="E49" s="12">
        <v>60</v>
      </c>
      <c r="F49" s="12">
        <v>57</v>
      </c>
      <c r="G49" s="12">
        <f t="shared" si="1"/>
        <v>3</v>
      </c>
      <c r="H49" s="20" t="str">
        <f t="shared" si="2"/>
        <v>Sunday</v>
      </c>
      <c r="I49" s="19" t="str">
        <f t="shared" si="3"/>
        <v>Week 1</v>
      </c>
    </row>
    <row r="50" spans="2:9" ht="26.25" customHeight="1">
      <c r="B50" s="9">
        <v>46243</v>
      </c>
      <c r="C50" s="5" t="s">
        <v>62</v>
      </c>
      <c r="D50" s="5">
        <v>1</v>
      </c>
      <c r="E50" s="12">
        <v>60</v>
      </c>
      <c r="F50" s="12">
        <v>40</v>
      </c>
      <c r="G50" s="12">
        <f t="shared" si="1"/>
        <v>20</v>
      </c>
      <c r="H50" s="20" t="str">
        <f t="shared" si="2"/>
        <v>Sunday</v>
      </c>
      <c r="I50" s="19" t="str">
        <f t="shared" si="3"/>
        <v>Week 1</v>
      </c>
    </row>
    <row r="51" spans="2:9" ht="26.25" customHeight="1">
      <c r="B51" s="9">
        <v>46243</v>
      </c>
      <c r="C51" s="5" t="s">
        <v>63</v>
      </c>
      <c r="D51" s="5">
        <v>1</v>
      </c>
      <c r="E51" s="12">
        <v>120</v>
      </c>
      <c r="F51" s="12">
        <v>77</v>
      </c>
      <c r="G51" s="12">
        <f t="shared" si="1"/>
        <v>43</v>
      </c>
      <c r="H51" s="20" t="str">
        <f t="shared" si="2"/>
        <v>Sunday</v>
      </c>
      <c r="I51" s="19" t="str">
        <f t="shared" si="3"/>
        <v>Week 1</v>
      </c>
    </row>
    <row r="52" spans="2:9" ht="26.25" customHeight="1">
      <c r="B52" s="9">
        <v>46243</v>
      </c>
      <c r="C52" s="13" t="s">
        <v>64</v>
      </c>
      <c r="D52" s="5">
        <v>1</v>
      </c>
      <c r="E52" s="12">
        <v>150</v>
      </c>
      <c r="F52" s="12">
        <v>114</v>
      </c>
      <c r="G52" s="12">
        <f t="shared" si="1"/>
        <v>36</v>
      </c>
      <c r="H52" s="20" t="str">
        <f t="shared" si="2"/>
        <v>Sunday</v>
      </c>
      <c r="I52" s="19" t="str">
        <f t="shared" si="3"/>
        <v>Week 1</v>
      </c>
    </row>
    <row r="53" spans="2:9" ht="26.25" customHeight="1">
      <c r="B53" s="9">
        <v>46243</v>
      </c>
      <c r="C53" s="5" t="s">
        <v>65</v>
      </c>
      <c r="D53" s="5">
        <v>1</v>
      </c>
      <c r="E53" s="12">
        <v>550</v>
      </c>
      <c r="F53" s="12">
        <v>480</v>
      </c>
      <c r="G53" s="12">
        <f t="shared" si="1"/>
        <v>70</v>
      </c>
      <c r="H53" s="20" t="str">
        <f t="shared" si="2"/>
        <v>Sunday</v>
      </c>
      <c r="I53" s="19" t="str">
        <f t="shared" si="3"/>
        <v>Week 1</v>
      </c>
    </row>
    <row r="54" spans="2:9" ht="26.25" customHeight="1">
      <c r="B54" s="9">
        <v>46243</v>
      </c>
      <c r="C54" s="5" t="s">
        <v>66</v>
      </c>
      <c r="D54" s="5">
        <v>2</v>
      </c>
      <c r="E54" s="12">
        <v>36</v>
      </c>
      <c r="F54" s="12">
        <v>27</v>
      </c>
      <c r="G54" s="12">
        <f t="shared" si="1"/>
        <v>18</v>
      </c>
      <c r="H54" s="20" t="str">
        <f t="shared" si="2"/>
        <v>Sunday</v>
      </c>
      <c r="I54" s="19" t="str">
        <f t="shared" si="3"/>
        <v>Week 1</v>
      </c>
    </row>
    <row r="55" spans="2:9" ht="26.25" customHeight="1">
      <c r="B55" s="14">
        <v>46243</v>
      </c>
      <c r="C55" s="7" t="s">
        <v>67</v>
      </c>
      <c r="D55" s="7">
        <v>4</v>
      </c>
      <c r="E55" s="15">
        <v>5</v>
      </c>
      <c r="F55" s="15">
        <v>2.2999999999999998</v>
      </c>
      <c r="G55" s="15">
        <f t="shared" si="1"/>
        <v>10.8</v>
      </c>
      <c r="H55" s="21" t="str">
        <f t="shared" si="2"/>
        <v>Sunday</v>
      </c>
      <c r="I55" s="19" t="str">
        <f t="shared" si="3"/>
        <v>Week 1</v>
      </c>
    </row>
    <row r="56" spans="2:9" ht="26.25" customHeight="1">
      <c r="B56" s="16">
        <v>46243</v>
      </c>
      <c r="C56" s="17" t="s">
        <v>68</v>
      </c>
      <c r="D56" s="17">
        <v>3</v>
      </c>
      <c r="E56" s="18">
        <v>20</v>
      </c>
      <c r="F56" s="18">
        <v>15.5</v>
      </c>
      <c r="G56" s="18">
        <f t="shared" si="1"/>
        <v>13.5</v>
      </c>
      <c r="H56" s="22" t="str">
        <f t="shared" si="2"/>
        <v>Sunday</v>
      </c>
      <c r="I56" s="19" t="str">
        <f t="shared" si="3"/>
        <v>Week 1</v>
      </c>
    </row>
    <row r="57" spans="2:9" ht="26.25" customHeight="1">
      <c r="B57" s="26">
        <v>46244</v>
      </c>
      <c r="C57" s="27" t="s">
        <v>69</v>
      </c>
      <c r="D57" s="27">
        <v>1</v>
      </c>
      <c r="E57" s="19">
        <v>350</v>
      </c>
      <c r="F57" s="19">
        <v>280</v>
      </c>
      <c r="G57" s="19">
        <f t="shared" ref="G57:G58" si="4">(E57-F57)*D57</f>
        <v>70</v>
      </c>
      <c r="H57" s="27" t="str">
        <f t="shared" ref="H57:H58" si="5">TEXT(B57,"dddd")</f>
        <v>Monday</v>
      </c>
      <c r="I57" s="28" t="str">
        <f t="shared" si="3"/>
        <v>Week 2</v>
      </c>
    </row>
    <row r="58" spans="2:9" ht="26.25" customHeight="1">
      <c r="B58" s="26">
        <v>46244</v>
      </c>
      <c r="C58" s="27" t="s">
        <v>70</v>
      </c>
      <c r="D58" s="27">
        <v>2</v>
      </c>
      <c r="E58" s="19">
        <v>75</v>
      </c>
      <c r="F58" s="19">
        <v>63.5</v>
      </c>
      <c r="G58" s="19">
        <f t="shared" si="4"/>
        <v>23</v>
      </c>
      <c r="H58" s="27" t="str">
        <f t="shared" si="5"/>
        <v>Monday</v>
      </c>
      <c r="I58" s="28" t="str">
        <f t="shared" si="3"/>
        <v>Week 2</v>
      </c>
    </row>
    <row r="59" spans="2:9" ht="26.25" customHeight="1">
      <c r="B59" s="26">
        <v>46244</v>
      </c>
      <c r="C59" s="30" t="s">
        <v>71</v>
      </c>
      <c r="D59" s="31">
        <v>1</v>
      </c>
      <c r="E59" s="15">
        <v>40</v>
      </c>
      <c r="F59" s="15">
        <v>31</v>
      </c>
      <c r="G59" s="15">
        <f>(E59-F59)*D59</f>
        <v>9</v>
      </c>
      <c r="H59" s="15" t="str">
        <f>TEXT(B59,"dddd")</f>
        <v>Monday</v>
      </c>
      <c r="I59" s="18" t="str">
        <f>"Week " &amp; (INT((B59 - DATE(2026,8,3)) / 7) + 1)</f>
        <v>Week 2</v>
      </c>
    </row>
    <row r="60" spans="2:9" ht="26.25" customHeight="1">
      <c r="B60" s="26">
        <v>46244</v>
      </c>
      <c r="C60" s="30" t="s">
        <v>72</v>
      </c>
      <c r="D60" s="36">
        <v>1</v>
      </c>
      <c r="E60" s="35">
        <v>260</v>
      </c>
      <c r="F60" s="35">
        <v>224</v>
      </c>
      <c r="G60" s="35">
        <f>(E60-F60)*D60</f>
        <v>36</v>
      </c>
      <c r="H60" s="35" t="str">
        <f>TEXT(B60,"dddd")</f>
        <v>Monday</v>
      </c>
      <c r="I60" s="37" t="str">
        <f>"Week " &amp; (INT((B60 - DATE(2026,8,3)) / 7) + 1)</f>
        <v>Week 2</v>
      </c>
    </row>
    <row r="61" spans="2:9" ht="26.25" customHeight="1">
      <c r="B61" s="26">
        <v>46244</v>
      </c>
      <c r="C61" s="32" t="s">
        <v>73</v>
      </c>
      <c r="D61" s="31">
        <v>6</v>
      </c>
      <c r="E61" s="38">
        <v>5</v>
      </c>
      <c r="F61" s="38">
        <v>2.2999999999999998</v>
      </c>
      <c r="G61" s="38">
        <f t="shared" ref="G61:G101" si="6">(E61-F61)*D61</f>
        <v>16.200000000000003</v>
      </c>
      <c r="H61" s="38" t="str">
        <f t="shared" ref="H61:H101" si="7">TEXT(B61,"dddd")</f>
        <v>Monday</v>
      </c>
      <c r="I61" s="19" t="str">
        <f t="shared" ref="I61:I101" si="8">"Week " &amp; (INT((B61 - DATE(2026,8,3)) / 7) + 1)</f>
        <v>Week 2</v>
      </c>
    </row>
    <row r="62" spans="2:9" ht="26.25" customHeight="1">
      <c r="B62" s="26">
        <v>46244</v>
      </c>
      <c r="C62" s="33" t="s">
        <v>35</v>
      </c>
      <c r="D62" s="31">
        <v>3</v>
      </c>
      <c r="E62" s="33">
        <v>100</v>
      </c>
      <c r="F62" s="33">
        <v>89</v>
      </c>
      <c r="G62" s="33">
        <f t="shared" si="6"/>
        <v>33</v>
      </c>
      <c r="H62" s="33" t="str">
        <f t="shared" si="7"/>
        <v>Monday</v>
      </c>
      <c r="I62" s="19" t="str">
        <f t="shared" si="8"/>
        <v>Week 2</v>
      </c>
    </row>
    <row r="63" spans="2:9" ht="26.25" customHeight="1">
      <c r="B63" s="26">
        <v>46244</v>
      </c>
      <c r="C63" s="33" t="s">
        <v>33</v>
      </c>
      <c r="D63" s="31">
        <v>2</v>
      </c>
      <c r="E63" s="33">
        <v>540</v>
      </c>
      <c r="F63" s="33">
        <v>493</v>
      </c>
      <c r="G63" s="33">
        <f t="shared" si="6"/>
        <v>94</v>
      </c>
      <c r="H63" s="33" t="str">
        <f t="shared" si="7"/>
        <v>Monday</v>
      </c>
      <c r="I63" s="19" t="str">
        <f t="shared" si="8"/>
        <v>Week 2</v>
      </c>
    </row>
    <row r="64" spans="2:9" ht="26.25" customHeight="1">
      <c r="B64" s="26">
        <v>46244</v>
      </c>
      <c r="C64" s="33" t="s">
        <v>36</v>
      </c>
      <c r="D64" s="31">
        <v>1</v>
      </c>
      <c r="E64" s="33">
        <v>180</v>
      </c>
      <c r="F64" s="33">
        <v>154</v>
      </c>
      <c r="G64" s="33">
        <f t="shared" si="6"/>
        <v>26</v>
      </c>
      <c r="H64" s="33" t="str">
        <f t="shared" si="7"/>
        <v>Monday</v>
      </c>
      <c r="I64" s="19" t="str">
        <f t="shared" si="8"/>
        <v>Week 2</v>
      </c>
    </row>
    <row r="65" spans="2:9" ht="26.25" customHeight="1">
      <c r="B65" s="26">
        <v>46244</v>
      </c>
      <c r="C65" s="33" t="s">
        <v>74</v>
      </c>
      <c r="D65" s="31">
        <v>1</v>
      </c>
      <c r="E65" s="33">
        <v>60</v>
      </c>
      <c r="F65" s="33">
        <v>41</v>
      </c>
      <c r="G65" s="33">
        <f t="shared" si="6"/>
        <v>19</v>
      </c>
      <c r="H65" s="33" t="str">
        <f t="shared" si="7"/>
        <v>Monday</v>
      </c>
      <c r="I65" s="19" t="str">
        <f t="shared" si="8"/>
        <v>Week 2</v>
      </c>
    </row>
    <row r="66" spans="2:9" ht="26.25" customHeight="1">
      <c r="B66" s="26">
        <v>46245</v>
      </c>
      <c r="C66" s="33" t="s">
        <v>24</v>
      </c>
      <c r="D66" s="31">
        <v>2</v>
      </c>
      <c r="E66" s="33">
        <v>275</v>
      </c>
      <c r="F66" s="33">
        <v>255</v>
      </c>
      <c r="G66" s="33">
        <f t="shared" si="6"/>
        <v>40</v>
      </c>
      <c r="H66" s="33" t="str">
        <f t="shared" si="7"/>
        <v>Tuesday</v>
      </c>
      <c r="I66" s="19" t="str">
        <f t="shared" si="8"/>
        <v>Week 2</v>
      </c>
    </row>
    <row r="67" spans="2:9" ht="26.25" customHeight="1">
      <c r="B67" s="26">
        <v>46245</v>
      </c>
      <c r="C67" s="33" t="s">
        <v>52</v>
      </c>
      <c r="D67" s="31">
        <v>6</v>
      </c>
      <c r="E67" s="33">
        <v>30</v>
      </c>
      <c r="F67" s="33">
        <v>23.5</v>
      </c>
      <c r="G67" s="33">
        <f t="shared" si="6"/>
        <v>39</v>
      </c>
      <c r="H67" s="33" t="str">
        <f t="shared" si="7"/>
        <v>Tuesday</v>
      </c>
      <c r="I67" s="19" t="str">
        <f t="shared" si="8"/>
        <v>Week 2</v>
      </c>
    </row>
    <row r="68" spans="2:9" ht="26.25" customHeight="1">
      <c r="B68" s="26">
        <v>46245</v>
      </c>
      <c r="C68" s="33" t="s">
        <v>53</v>
      </c>
      <c r="D68" s="31">
        <v>4</v>
      </c>
      <c r="E68" s="33">
        <v>25</v>
      </c>
      <c r="F68" s="33">
        <v>22</v>
      </c>
      <c r="G68" s="33">
        <f t="shared" si="6"/>
        <v>12</v>
      </c>
      <c r="H68" s="33" t="str">
        <f t="shared" si="7"/>
        <v>Tuesday</v>
      </c>
      <c r="I68" s="19" t="str">
        <f t="shared" si="8"/>
        <v>Week 2</v>
      </c>
    </row>
    <row r="69" spans="2:9" ht="26.25" customHeight="1">
      <c r="B69" s="26">
        <v>46245</v>
      </c>
      <c r="C69" s="33" t="s">
        <v>26</v>
      </c>
      <c r="D69" s="31">
        <v>2</v>
      </c>
      <c r="E69" s="33">
        <v>240</v>
      </c>
      <c r="F69" s="33">
        <v>197</v>
      </c>
      <c r="G69" s="33">
        <f t="shared" si="6"/>
        <v>86</v>
      </c>
      <c r="H69" s="33" t="str">
        <f t="shared" si="7"/>
        <v>Tuesday</v>
      </c>
      <c r="I69" s="19" t="str">
        <f t="shared" si="8"/>
        <v>Week 2</v>
      </c>
    </row>
    <row r="70" spans="2:9" ht="26.25" customHeight="1">
      <c r="B70" s="26">
        <v>46245</v>
      </c>
      <c r="C70" s="33" t="s">
        <v>75</v>
      </c>
      <c r="D70" s="31">
        <v>2</v>
      </c>
      <c r="E70" s="33">
        <v>170</v>
      </c>
      <c r="F70" s="33">
        <v>152.6</v>
      </c>
      <c r="G70" s="33">
        <f t="shared" si="6"/>
        <v>34.800000000000011</v>
      </c>
      <c r="H70" s="33" t="str">
        <f t="shared" si="7"/>
        <v>Tuesday</v>
      </c>
      <c r="I70" s="19" t="str">
        <f t="shared" si="8"/>
        <v>Week 2</v>
      </c>
    </row>
    <row r="71" spans="2:9" ht="26.25" customHeight="1">
      <c r="B71" s="26">
        <v>46245</v>
      </c>
      <c r="C71" s="33" t="s">
        <v>76</v>
      </c>
      <c r="D71" s="31">
        <v>8</v>
      </c>
      <c r="E71" s="33">
        <v>15</v>
      </c>
      <c r="F71" s="33">
        <v>12.5</v>
      </c>
      <c r="G71" s="33">
        <f t="shared" si="6"/>
        <v>20</v>
      </c>
      <c r="H71" s="33" t="str">
        <f t="shared" si="7"/>
        <v>Tuesday</v>
      </c>
      <c r="I71" s="19" t="str">
        <f t="shared" si="8"/>
        <v>Week 2</v>
      </c>
    </row>
    <row r="72" spans="2:9" ht="26.25" customHeight="1">
      <c r="B72" s="26">
        <v>46245</v>
      </c>
      <c r="C72" s="33" t="s">
        <v>77</v>
      </c>
      <c r="D72" s="31">
        <v>2</v>
      </c>
      <c r="E72" s="33">
        <v>60</v>
      </c>
      <c r="F72" s="33">
        <v>50</v>
      </c>
      <c r="G72" s="33">
        <f t="shared" si="6"/>
        <v>20</v>
      </c>
      <c r="H72" s="33" t="str">
        <f t="shared" si="7"/>
        <v>Tuesday</v>
      </c>
      <c r="I72" s="19" t="str">
        <f t="shared" si="8"/>
        <v>Week 2</v>
      </c>
    </row>
    <row r="73" spans="2:9" ht="26.25" customHeight="1">
      <c r="B73" s="26">
        <v>46245</v>
      </c>
      <c r="C73" s="33" t="s">
        <v>78</v>
      </c>
      <c r="D73" s="31">
        <v>1</v>
      </c>
      <c r="E73" s="33">
        <v>220</v>
      </c>
      <c r="F73" s="33">
        <v>180</v>
      </c>
      <c r="G73" s="33">
        <f t="shared" si="6"/>
        <v>40</v>
      </c>
      <c r="H73" s="33" t="str">
        <f t="shared" si="7"/>
        <v>Tuesday</v>
      </c>
      <c r="I73" s="19" t="str">
        <f t="shared" si="8"/>
        <v>Week 2</v>
      </c>
    </row>
    <row r="74" spans="2:9" ht="26.25" customHeight="1">
      <c r="B74" s="26">
        <v>46245</v>
      </c>
      <c r="C74" s="33" t="s">
        <v>79</v>
      </c>
      <c r="D74" s="31">
        <v>15</v>
      </c>
      <c r="E74" s="33">
        <v>4</v>
      </c>
      <c r="F74" s="33">
        <v>1.6</v>
      </c>
      <c r="G74" s="33">
        <f t="shared" si="6"/>
        <v>36</v>
      </c>
      <c r="H74" s="33" t="str">
        <f t="shared" si="7"/>
        <v>Tuesday</v>
      </c>
      <c r="I74" s="19" t="str">
        <f t="shared" si="8"/>
        <v>Week 2</v>
      </c>
    </row>
    <row r="75" spans="2:9" ht="26.25" customHeight="1">
      <c r="B75" s="26">
        <v>46246</v>
      </c>
      <c r="C75" s="33" t="s">
        <v>80</v>
      </c>
      <c r="D75" s="31">
        <v>3</v>
      </c>
      <c r="E75" s="33">
        <v>320</v>
      </c>
      <c r="F75" s="33">
        <v>295</v>
      </c>
      <c r="G75" s="33">
        <f t="shared" si="6"/>
        <v>75</v>
      </c>
      <c r="H75" s="33" t="str">
        <f t="shared" si="7"/>
        <v>Wednesday</v>
      </c>
      <c r="I75" s="19" t="str">
        <f t="shared" si="8"/>
        <v>Week 2</v>
      </c>
    </row>
    <row r="76" spans="2:9" ht="26.25" customHeight="1">
      <c r="B76" s="26">
        <v>46246</v>
      </c>
      <c r="C76" s="33" t="s">
        <v>81</v>
      </c>
      <c r="D76" s="31">
        <v>1</v>
      </c>
      <c r="E76" s="33">
        <v>400</v>
      </c>
      <c r="F76" s="33">
        <v>330</v>
      </c>
      <c r="G76" s="33">
        <f t="shared" si="6"/>
        <v>70</v>
      </c>
      <c r="H76" s="33" t="str">
        <f t="shared" si="7"/>
        <v>Wednesday</v>
      </c>
      <c r="I76" s="19" t="str">
        <f t="shared" si="8"/>
        <v>Week 2</v>
      </c>
    </row>
    <row r="77" spans="2:9" ht="26.25" customHeight="1">
      <c r="B77" s="26">
        <v>46246</v>
      </c>
      <c r="C77" s="33" t="s">
        <v>82</v>
      </c>
      <c r="D77" s="31">
        <v>3</v>
      </c>
      <c r="E77" s="33">
        <v>800</v>
      </c>
      <c r="F77" s="33">
        <v>710</v>
      </c>
      <c r="G77" s="33">
        <f t="shared" si="6"/>
        <v>270</v>
      </c>
      <c r="H77" s="33" t="str">
        <f t="shared" si="7"/>
        <v>Wednesday</v>
      </c>
      <c r="I77" s="19" t="str">
        <f t="shared" si="8"/>
        <v>Week 2</v>
      </c>
    </row>
    <row r="78" spans="2:9" ht="26.25" customHeight="1">
      <c r="B78" s="26">
        <v>46246</v>
      </c>
      <c r="C78" s="33" t="s">
        <v>83</v>
      </c>
      <c r="D78" s="31">
        <v>12</v>
      </c>
      <c r="E78" s="33">
        <v>10</v>
      </c>
      <c r="F78" s="33">
        <v>9.1</v>
      </c>
      <c r="G78" s="33">
        <f t="shared" si="6"/>
        <v>10.800000000000004</v>
      </c>
      <c r="H78" s="33" t="str">
        <f t="shared" si="7"/>
        <v>Wednesday</v>
      </c>
      <c r="I78" s="19" t="str">
        <f t="shared" si="8"/>
        <v>Week 2</v>
      </c>
    </row>
    <row r="79" spans="2:9" ht="26.25" customHeight="1">
      <c r="B79" s="26">
        <v>46246</v>
      </c>
      <c r="C79" s="33" t="s">
        <v>84</v>
      </c>
      <c r="D79" s="31">
        <v>10</v>
      </c>
      <c r="E79" s="33">
        <v>10</v>
      </c>
      <c r="F79" s="33">
        <v>7</v>
      </c>
      <c r="G79" s="33">
        <f t="shared" si="6"/>
        <v>30</v>
      </c>
      <c r="H79" s="33" t="str">
        <f t="shared" si="7"/>
        <v>Wednesday</v>
      </c>
      <c r="I79" s="19" t="str">
        <f t="shared" si="8"/>
        <v>Week 2</v>
      </c>
    </row>
    <row r="80" spans="2:9" ht="26.25" customHeight="1">
      <c r="B80" s="26">
        <v>46246</v>
      </c>
      <c r="C80" s="33" t="s">
        <v>85</v>
      </c>
      <c r="D80" s="31">
        <v>2</v>
      </c>
      <c r="E80" s="33">
        <v>140</v>
      </c>
      <c r="F80" s="33">
        <v>105</v>
      </c>
      <c r="G80" s="33">
        <f t="shared" si="6"/>
        <v>70</v>
      </c>
      <c r="H80" s="33" t="str">
        <f t="shared" si="7"/>
        <v>Wednesday</v>
      </c>
      <c r="I80" s="19" t="str">
        <f t="shared" si="8"/>
        <v>Week 2</v>
      </c>
    </row>
    <row r="81" spans="2:9" ht="26.25" customHeight="1">
      <c r="B81" s="26">
        <v>46246</v>
      </c>
      <c r="C81" s="33" t="s">
        <v>86</v>
      </c>
      <c r="D81" s="31">
        <v>2</v>
      </c>
      <c r="E81" s="33">
        <v>260</v>
      </c>
      <c r="F81" s="33">
        <v>219</v>
      </c>
      <c r="G81" s="33">
        <f t="shared" si="6"/>
        <v>82</v>
      </c>
      <c r="H81" s="33" t="str">
        <f t="shared" si="7"/>
        <v>Wednesday</v>
      </c>
      <c r="I81" s="19" t="str">
        <f t="shared" si="8"/>
        <v>Week 2</v>
      </c>
    </row>
    <row r="82" spans="2:9" ht="26.25" customHeight="1">
      <c r="B82" s="26">
        <v>46247</v>
      </c>
      <c r="C82" s="33" t="s">
        <v>75</v>
      </c>
      <c r="D82" s="31">
        <v>8</v>
      </c>
      <c r="E82" s="33">
        <v>168</v>
      </c>
      <c r="F82" s="33">
        <v>152.6</v>
      </c>
      <c r="G82" s="33">
        <f t="shared" si="6"/>
        <v>123.20000000000005</v>
      </c>
      <c r="H82" s="33" t="str">
        <f t="shared" si="7"/>
        <v>Thursday</v>
      </c>
      <c r="I82" s="19" t="str">
        <f t="shared" si="8"/>
        <v>Week 2</v>
      </c>
    </row>
    <row r="83" spans="2:9" ht="26.25" customHeight="1">
      <c r="B83" s="26">
        <v>46247</v>
      </c>
      <c r="C83" s="33" t="s">
        <v>76</v>
      </c>
      <c r="D83" s="31">
        <v>15</v>
      </c>
      <c r="E83" s="33">
        <v>14.5</v>
      </c>
      <c r="F83" s="33">
        <v>12.5</v>
      </c>
      <c r="G83" s="33">
        <f t="shared" si="6"/>
        <v>30</v>
      </c>
      <c r="H83" s="33" t="str">
        <f t="shared" si="7"/>
        <v>Thursday</v>
      </c>
      <c r="I83" s="19" t="str">
        <f t="shared" si="8"/>
        <v>Week 2</v>
      </c>
    </row>
    <row r="84" spans="2:9" ht="26.25" customHeight="1">
      <c r="B84" s="26">
        <v>46247</v>
      </c>
      <c r="C84" s="33" t="s">
        <v>87</v>
      </c>
      <c r="D84" s="31">
        <v>4</v>
      </c>
      <c r="E84" s="33">
        <v>60</v>
      </c>
      <c r="F84" s="33">
        <v>52</v>
      </c>
      <c r="G84" s="33">
        <f t="shared" si="6"/>
        <v>32</v>
      </c>
      <c r="H84" s="33" t="str">
        <f t="shared" si="7"/>
        <v>Thursday</v>
      </c>
      <c r="I84" s="19" t="str">
        <f t="shared" si="8"/>
        <v>Week 2</v>
      </c>
    </row>
    <row r="85" spans="2:9" ht="26.25" customHeight="1">
      <c r="B85" s="26">
        <v>46247</v>
      </c>
      <c r="C85" s="33" t="s">
        <v>88</v>
      </c>
      <c r="D85" s="31">
        <v>2</v>
      </c>
      <c r="E85" s="33">
        <v>20</v>
      </c>
      <c r="F85" s="33">
        <v>13</v>
      </c>
      <c r="G85" s="33">
        <f t="shared" si="6"/>
        <v>14</v>
      </c>
      <c r="H85" s="33" t="str">
        <f t="shared" si="7"/>
        <v>Thursday</v>
      </c>
      <c r="I85" s="19" t="str">
        <f t="shared" si="8"/>
        <v>Week 2</v>
      </c>
    </row>
    <row r="86" spans="2:9" ht="26.25" customHeight="1">
      <c r="B86" s="26">
        <v>46247</v>
      </c>
      <c r="C86" s="33" t="s">
        <v>89</v>
      </c>
      <c r="D86" s="31">
        <v>2</v>
      </c>
      <c r="E86" s="33">
        <v>40</v>
      </c>
      <c r="F86" s="33">
        <v>31.5</v>
      </c>
      <c r="G86" s="33">
        <f t="shared" si="6"/>
        <v>17</v>
      </c>
      <c r="H86" s="33" t="str">
        <f t="shared" si="7"/>
        <v>Thursday</v>
      </c>
      <c r="I86" s="19" t="str">
        <f t="shared" si="8"/>
        <v>Week 2</v>
      </c>
    </row>
    <row r="87" spans="2:9" ht="26.25" customHeight="1">
      <c r="B87" s="26">
        <v>46247</v>
      </c>
      <c r="C87" s="33" t="s">
        <v>90</v>
      </c>
      <c r="D87" s="31">
        <v>2</v>
      </c>
      <c r="E87" s="33">
        <v>90</v>
      </c>
      <c r="F87" s="33">
        <v>75</v>
      </c>
      <c r="G87" s="33">
        <f t="shared" si="6"/>
        <v>30</v>
      </c>
      <c r="H87" s="33" t="str">
        <f t="shared" si="7"/>
        <v>Thursday</v>
      </c>
      <c r="I87" s="19" t="str">
        <f t="shared" si="8"/>
        <v>Week 2</v>
      </c>
    </row>
    <row r="88" spans="2:9" ht="26.25" customHeight="1">
      <c r="B88" s="26">
        <v>46247</v>
      </c>
      <c r="C88" s="33" t="s">
        <v>91</v>
      </c>
      <c r="D88" s="31">
        <v>1</v>
      </c>
      <c r="E88" s="33">
        <v>110</v>
      </c>
      <c r="F88" s="33">
        <v>92</v>
      </c>
      <c r="G88" s="33">
        <f t="shared" si="6"/>
        <v>18</v>
      </c>
      <c r="H88" s="33" t="str">
        <f t="shared" si="7"/>
        <v>Thursday</v>
      </c>
      <c r="I88" s="19" t="str">
        <f t="shared" si="8"/>
        <v>Week 2</v>
      </c>
    </row>
    <row r="89" spans="2:9" ht="26.25" customHeight="1">
      <c r="B89" s="26">
        <v>46247</v>
      </c>
      <c r="C89" s="33" t="s">
        <v>26</v>
      </c>
      <c r="D89" s="31">
        <v>1</v>
      </c>
      <c r="E89" s="33">
        <v>235</v>
      </c>
      <c r="F89" s="33">
        <v>197</v>
      </c>
      <c r="G89" s="33">
        <f t="shared" si="6"/>
        <v>38</v>
      </c>
      <c r="H89" s="33" t="str">
        <f t="shared" si="7"/>
        <v>Thursday</v>
      </c>
      <c r="I89" s="19" t="str">
        <f t="shared" si="8"/>
        <v>Week 2</v>
      </c>
    </row>
    <row r="90" spans="2:9" ht="26.25" customHeight="1">
      <c r="B90" s="26">
        <v>46247</v>
      </c>
      <c r="C90" s="33" t="s">
        <v>78</v>
      </c>
      <c r="D90" s="31">
        <v>1</v>
      </c>
      <c r="E90" s="33">
        <v>220</v>
      </c>
      <c r="F90" s="33">
        <v>180</v>
      </c>
      <c r="G90" s="33">
        <f t="shared" si="6"/>
        <v>40</v>
      </c>
      <c r="H90" s="33" t="str">
        <f t="shared" si="7"/>
        <v>Thursday</v>
      </c>
      <c r="I90" s="19" t="str">
        <f t="shared" si="8"/>
        <v>Week 2</v>
      </c>
    </row>
    <row r="91" spans="2:9" ht="26.25" customHeight="1">
      <c r="B91" s="26">
        <v>46247</v>
      </c>
      <c r="C91" s="33" t="s">
        <v>84</v>
      </c>
      <c r="D91" s="31">
        <v>10</v>
      </c>
      <c r="E91" s="33">
        <v>10</v>
      </c>
      <c r="F91" s="33">
        <v>7</v>
      </c>
      <c r="G91" s="33">
        <f t="shared" si="6"/>
        <v>30</v>
      </c>
      <c r="H91" s="33" t="str">
        <f t="shared" si="7"/>
        <v>Thursday</v>
      </c>
      <c r="I91" s="19" t="str">
        <f t="shared" si="8"/>
        <v>Week 2</v>
      </c>
    </row>
    <row r="92" spans="2:9" ht="26.25" customHeight="1">
      <c r="B92" s="26">
        <v>46247</v>
      </c>
      <c r="C92" s="33" t="s">
        <v>83</v>
      </c>
      <c r="D92" s="31">
        <v>4</v>
      </c>
      <c r="E92" s="33">
        <v>10</v>
      </c>
      <c r="F92" s="33">
        <v>9.1999999999999993</v>
      </c>
      <c r="G92" s="33">
        <f t="shared" si="6"/>
        <v>3.2000000000000028</v>
      </c>
      <c r="H92" s="33" t="str">
        <f t="shared" si="7"/>
        <v>Thursday</v>
      </c>
      <c r="I92" s="19" t="str">
        <f t="shared" si="8"/>
        <v>Week 2</v>
      </c>
    </row>
    <row r="93" spans="2:9" ht="26.25" customHeight="1">
      <c r="B93" s="26">
        <v>46247</v>
      </c>
      <c r="C93" s="33" t="s">
        <v>79</v>
      </c>
      <c r="D93" s="31">
        <v>24</v>
      </c>
      <c r="E93" s="33">
        <v>3.5</v>
      </c>
      <c r="F93" s="33">
        <v>1.6</v>
      </c>
      <c r="G93" s="33">
        <f t="shared" si="6"/>
        <v>45.599999999999994</v>
      </c>
      <c r="H93" s="33" t="str">
        <f t="shared" si="7"/>
        <v>Thursday</v>
      </c>
      <c r="I93" s="19" t="str">
        <f t="shared" si="8"/>
        <v>Week 2</v>
      </c>
    </row>
    <row r="94" spans="2:9" ht="26.25" customHeight="1">
      <c r="B94" s="26">
        <v>46248</v>
      </c>
      <c r="C94" s="33" t="s">
        <v>40</v>
      </c>
      <c r="D94" s="31">
        <v>2</v>
      </c>
      <c r="E94" s="33">
        <v>325</v>
      </c>
      <c r="F94" s="33">
        <v>297</v>
      </c>
      <c r="G94" s="33">
        <f t="shared" si="6"/>
        <v>56</v>
      </c>
      <c r="H94" s="33" t="str">
        <f t="shared" si="7"/>
        <v>Friday</v>
      </c>
      <c r="I94" s="19" t="str">
        <f t="shared" si="8"/>
        <v>Week 2</v>
      </c>
    </row>
    <row r="95" spans="2:9" ht="26.25" customHeight="1">
      <c r="B95" s="26">
        <v>46248</v>
      </c>
      <c r="C95" s="33" t="s">
        <v>42</v>
      </c>
      <c r="D95" s="31">
        <v>6</v>
      </c>
      <c r="E95" s="33">
        <v>60</v>
      </c>
      <c r="F95" s="33">
        <v>49</v>
      </c>
      <c r="G95" s="33">
        <f t="shared" si="6"/>
        <v>66</v>
      </c>
      <c r="H95" s="33" t="str">
        <f t="shared" si="7"/>
        <v>Friday</v>
      </c>
      <c r="I95" s="19" t="str">
        <f t="shared" si="8"/>
        <v>Week 2</v>
      </c>
    </row>
    <row r="96" spans="2:9" ht="26.25" customHeight="1">
      <c r="B96" s="26">
        <v>46248</v>
      </c>
      <c r="C96" s="33" t="s">
        <v>92</v>
      </c>
      <c r="D96" s="31">
        <v>2</v>
      </c>
      <c r="E96" s="33">
        <v>160</v>
      </c>
      <c r="F96" s="33">
        <v>143</v>
      </c>
      <c r="G96" s="33">
        <f t="shared" si="6"/>
        <v>34</v>
      </c>
      <c r="H96" s="33" t="str">
        <f t="shared" si="7"/>
        <v>Friday</v>
      </c>
      <c r="I96" s="19" t="str">
        <f t="shared" si="8"/>
        <v>Week 2</v>
      </c>
    </row>
    <row r="97" spans="2:9" ht="26.25" customHeight="1">
      <c r="B97" s="26">
        <v>46248</v>
      </c>
      <c r="C97" s="33" t="s">
        <v>93</v>
      </c>
      <c r="D97" s="31">
        <v>2</v>
      </c>
      <c r="E97" s="33">
        <v>60</v>
      </c>
      <c r="F97" s="33">
        <v>47.5</v>
      </c>
      <c r="G97" s="33">
        <f t="shared" si="6"/>
        <v>25</v>
      </c>
      <c r="H97" s="33" t="str">
        <f t="shared" si="7"/>
        <v>Friday</v>
      </c>
      <c r="I97" s="19" t="str">
        <f t="shared" si="8"/>
        <v>Week 2</v>
      </c>
    </row>
    <row r="98" spans="2:9" ht="26.25" customHeight="1">
      <c r="B98" s="26">
        <v>46248</v>
      </c>
      <c r="C98" s="33" t="s">
        <v>94</v>
      </c>
      <c r="D98" s="31">
        <v>2</v>
      </c>
      <c r="E98" s="33">
        <v>40</v>
      </c>
      <c r="F98" s="33">
        <v>22</v>
      </c>
      <c r="G98" s="33">
        <f t="shared" si="6"/>
        <v>36</v>
      </c>
      <c r="H98" s="33" t="str">
        <f t="shared" si="7"/>
        <v>Friday</v>
      </c>
      <c r="I98" s="19" t="str">
        <f t="shared" si="8"/>
        <v>Week 2</v>
      </c>
    </row>
    <row r="99" spans="2:9" ht="26.25" customHeight="1">
      <c r="B99" s="26">
        <v>46248</v>
      </c>
      <c r="C99" s="33" t="s">
        <v>95</v>
      </c>
      <c r="D99" s="31">
        <v>2</v>
      </c>
      <c r="E99" s="33">
        <v>130</v>
      </c>
      <c r="F99" s="33">
        <v>93</v>
      </c>
      <c r="G99" s="33">
        <f t="shared" si="6"/>
        <v>74</v>
      </c>
      <c r="H99" s="33" t="str">
        <f t="shared" si="7"/>
        <v>Friday</v>
      </c>
      <c r="I99" s="19" t="str">
        <f t="shared" si="8"/>
        <v>Week 2</v>
      </c>
    </row>
    <row r="100" spans="2:9" ht="26.25" customHeight="1">
      <c r="B100" s="26">
        <v>46248</v>
      </c>
      <c r="C100" s="33" t="s">
        <v>58</v>
      </c>
      <c r="D100" s="31">
        <v>12</v>
      </c>
      <c r="E100" s="33">
        <v>15</v>
      </c>
      <c r="F100" s="33">
        <v>9.6</v>
      </c>
      <c r="G100" s="33">
        <f t="shared" si="6"/>
        <v>64.800000000000011</v>
      </c>
      <c r="H100" s="33" t="str">
        <f t="shared" si="7"/>
        <v>Friday</v>
      </c>
      <c r="I100" s="19" t="str">
        <f t="shared" si="8"/>
        <v>Week 2</v>
      </c>
    </row>
    <row r="101" spans="2:9" ht="26.25" customHeight="1">
      <c r="B101" s="26">
        <v>46248</v>
      </c>
      <c r="C101" s="34" t="s">
        <v>57</v>
      </c>
      <c r="D101" s="31">
        <v>7</v>
      </c>
      <c r="E101" s="34">
        <v>50</v>
      </c>
      <c r="F101" s="34">
        <v>36.5</v>
      </c>
      <c r="G101" s="34">
        <f t="shared" si="6"/>
        <v>94.5</v>
      </c>
      <c r="H101" s="34" t="str">
        <f t="shared" si="7"/>
        <v>Friday</v>
      </c>
      <c r="I101" s="19" t="str">
        <f t="shared" si="8"/>
        <v>Week 2</v>
      </c>
    </row>
    <row r="102" spans="2:9" ht="26.25" customHeight="1">
      <c r="B102" s="26">
        <v>46249</v>
      </c>
      <c r="C102" s="31" t="s">
        <v>96</v>
      </c>
      <c r="D102" s="36">
        <v>1</v>
      </c>
      <c r="E102" s="35">
        <v>1100</v>
      </c>
      <c r="F102" s="35">
        <v>980</v>
      </c>
      <c r="G102" s="35">
        <f>(E102-F102)*D102</f>
        <v>120</v>
      </c>
      <c r="H102" s="35" t="str">
        <f>TEXT(B102,"dddd")</f>
        <v>Saturday</v>
      </c>
      <c r="I102" s="28" t="str">
        <f>"Week " &amp; (INT((B102 - DATE(2026,8,3)) / 7) + 1)</f>
        <v>Week 2</v>
      </c>
    </row>
    <row r="103" spans="2:9" ht="26.25" customHeight="1">
      <c r="B103" s="26">
        <v>46249</v>
      </c>
      <c r="C103" s="31" t="s">
        <v>33</v>
      </c>
      <c r="D103" s="31">
        <v>4</v>
      </c>
      <c r="E103" s="15">
        <v>550</v>
      </c>
      <c r="F103" s="15">
        <v>523.5</v>
      </c>
      <c r="G103" s="15">
        <f>(E103-F103)*D103</f>
        <v>106</v>
      </c>
      <c r="H103" s="15" t="str">
        <f>TEXT(B103,"dddd")</f>
        <v>Saturday</v>
      </c>
      <c r="I103" s="18" t="str">
        <f>"Week " &amp; (INT((B103 - DATE(2026,8,3)) / 7) + 1)</f>
        <v>Week 2</v>
      </c>
    </row>
    <row r="104" spans="2:9" ht="26.25" customHeight="1">
      <c r="B104" s="26">
        <v>46249</v>
      </c>
      <c r="C104" s="39" t="s">
        <v>97</v>
      </c>
      <c r="D104" s="39">
        <v>1</v>
      </c>
      <c r="E104" s="35">
        <v>380</v>
      </c>
      <c r="F104" s="35">
        <v>335</v>
      </c>
      <c r="G104" s="35">
        <f>(E104-F104)*D104</f>
        <v>45</v>
      </c>
      <c r="H104" s="35" t="str">
        <f>TEXT(B104,"dddd")</f>
        <v>Saturday</v>
      </c>
      <c r="I104" s="35" t="str">
        <f>"Week " &amp; (INT((B104 - DATE(2026,8,3)) / 7) + 1)</f>
        <v>Week 2</v>
      </c>
    </row>
    <row r="105" spans="2:9" ht="26.25" customHeight="1">
      <c r="B105" s="26">
        <v>46249</v>
      </c>
      <c r="C105" s="31" t="s">
        <v>98</v>
      </c>
      <c r="D105" s="31">
        <v>1</v>
      </c>
      <c r="E105" s="15">
        <v>50</v>
      </c>
      <c r="F105" s="15">
        <v>22</v>
      </c>
      <c r="G105" s="15">
        <f>(E105-F105)*D105</f>
        <v>28</v>
      </c>
      <c r="H105" s="15" t="str">
        <f>TEXT(B105,"dddd")</f>
        <v>Saturday</v>
      </c>
      <c r="I105" s="18" t="str">
        <f>"Week " &amp; (INT((B105 - DATE(2026,8,3)) / 7) + 1)</f>
        <v>Week 2</v>
      </c>
    </row>
    <row r="106" spans="2:9" ht="26.25" customHeight="1">
      <c r="B106" s="26">
        <v>46249</v>
      </c>
      <c r="C106" s="39" t="s">
        <v>99</v>
      </c>
      <c r="D106" s="39">
        <v>1</v>
      </c>
      <c r="E106" s="35">
        <v>60</v>
      </c>
      <c r="F106" s="35">
        <v>46</v>
      </c>
      <c r="G106" s="35">
        <f>(E106-F106)*D106</f>
        <v>14</v>
      </c>
      <c r="H106" s="35" t="str">
        <f>TEXT(B106,"dddd")</f>
        <v>Saturday</v>
      </c>
      <c r="I106" s="35" t="str">
        <f>"Week " &amp; (INT((B106 - DATE(2026,8,3)) / 7) + 1)</f>
        <v>Week 2</v>
      </c>
    </row>
    <row r="107" spans="2:9" ht="26.25" customHeight="1">
      <c r="B107" s="26">
        <v>46249</v>
      </c>
      <c r="C107" s="31" t="s">
        <v>31</v>
      </c>
      <c r="D107" s="31">
        <v>5</v>
      </c>
      <c r="E107" s="15">
        <v>60</v>
      </c>
      <c r="F107" s="15">
        <v>42</v>
      </c>
      <c r="G107" s="15">
        <f>(E107-F107)*D107</f>
        <v>90</v>
      </c>
      <c r="H107" s="15" t="str">
        <f>TEXT(B107,"dddd")</f>
        <v>Saturday</v>
      </c>
      <c r="I107" s="18" t="str">
        <f>"Week " &amp; (INT((B107 - DATE(2026,8,3)) / 7) + 1)</f>
        <v>Week 2</v>
      </c>
    </row>
    <row r="108" spans="2:9" ht="26.25" customHeight="1">
      <c r="B108" s="26">
        <v>46249</v>
      </c>
      <c r="C108" s="39" t="s">
        <v>32</v>
      </c>
      <c r="D108" s="39">
        <v>1</v>
      </c>
      <c r="E108" s="35">
        <v>60</v>
      </c>
      <c r="F108" s="35">
        <v>47.5</v>
      </c>
      <c r="G108" s="35">
        <f>(E108-F108)*D108</f>
        <v>12.5</v>
      </c>
      <c r="H108" s="35" t="str">
        <f>TEXT(B108,"dddd")</f>
        <v>Saturday</v>
      </c>
      <c r="I108" s="37" t="str">
        <f>"Week " &amp; (INT((B108 - DATE(2026,8,3)) / 7) + 1)</f>
        <v>Week 2</v>
      </c>
    </row>
    <row r="109" spans="2:9" ht="26.25" customHeight="1">
      <c r="B109" s="26">
        <v>46249</v>
      </c>
      <c r="C109" s="39" t="s">
        <v>100</v>
      </c>
      <c r="D109" s="39">
        <v>1</v>
      </c>
      <c r="E109" s="30">
        <v>140</v>
      </c>
      <c r="F109" s="30">
        <v>98</v>
      </c>
      <c r="G109" s="30">
        <f>(E109-F109)*D109</f>
        <v>42</v>
      </c>
      <c r="H109" s="30" t="str">
        <f>TEXT(B109,"dddd")</f>
        <v>Saturday</v>
      </c>
      <c r="I109" s="37" t="str">
        <f>"Week " &amp; (INT((B109 - DATE(2026,8,3)) / 7) + 1)</f>
        <v>Week 2</v>
      </c>
    </row>
    <row r="110" spans="2:9" ht="26.25" customHeight="1">
      <c r="B110" s="26">
        <v>46250</v>
      </c>
      <c r="C110" s="31" t="s">
        <v>39</v>
      </c>
      <c r="D110" s="36">
        <v>1</v>
      </c>
      <c r="E110" s="35">
        <v>450</v>
      </c>
      <c r="F110" s="35">
        <v>376</v>
      </c>
      <c r="G110" s="35">
        <f>(E110-F110)*D110</f>
        <v>74</v>
      </c>
      <c r="H110" s="35" t="str">
        <f>TEXT(B110,"dddd")</f>
        <v>Sunday</v>
      </c>
      <c r="I110" s="28" t="str">
        <f>"Week " &amp; (INT((B110 - DATE(2026,8,3)) / 7) + 1)</f>
        <v>Week 2</v>
      </c>
    </row>
    <row r="111" spans="2:9" ht="26.25" customHeight="1">
      <c r="B111" s="26">
        <v>46250</v>
      </c>
      <c r="C111" s="31" t="s">
        <v>24</v>
      </c>
      <c r="D111" s="36">
        <v>5</v>
      </c>
      <c r="E111" s="35">
        <v>280</v>
      </c>
      <c r="F111" s="35">
        <v>255</v>
      </c>
      <c r="G111" s="35">
        <f>(E111-F111)*D111</f>
        <v>125</v>
      </c>
      <c r="H111" s="35" t="str">
        <f>TEXT(B111,"dddd")</f>
        <v>Sunday</v>
      </c>
      <c r="I111" s="37" t="str">
        <f>"Week " &amp; (INT((B111 - DATE(2026,8,3)) / 7) + 1)</f>
        <v>Week 2</v>
      </c>
    </row>
    <row r="112" spans="2:9" ht="26.25" customHeight="1">
      <c r="B112" s="26">
        <v>46250</v>
      </c>
      <c r="C112" s="31" t="s">
        <v>90</v>
      </c>
      <c r="D112" s="36">
        <v>1</v>
      </c>
      <c r="E112" s="35">
        <v>120</v>
      </c>
      <c r="F112" s="35">
        <v>88</v>
      </c>
      <c r="G112" s="35">
        <f>(E112-F112)*D112</f>
        <v>32</v>
      </c>
      <c r="H112" s="35" t="str">
        <f>TEXT(B112,"dddd")</f>
        <v>Sunday</v>
      </c>
      <c r="I112" s="37" t="str">
        <f>"Week " &amp; (INT((B112 - DATE(2026,8,3)) / 7) + 1)</f>
        <v>Week 2</v>
      </c>
    </row>
    <row r="113" spans="2:9" ht="26.25" customHeight="1">
      <c r="B113" s="26">
        <v>46250</v>
      </c>
      <c r="C113" s="31" t="s">
        <v>26</v>
      </c>
      <c r="D113" s="36">
        <v>1</v>
      </c>
      <c r="E113" s="35">
        <v>240</v>
      </c>
      <c r="F113" s="35">
        <v>215</v>
      </c>
      <c r="G113" s="35">
        <f>(E113-F113)*D113</f>
        <v>25</v>
      </c>
      <c r="H113" s="35" t="str">
        <f>TEXT(B113,"dddd")</f>
        <v>Sunday</v>
      </c>
      <c r="I113" s="37" t="str">
        <f>"Week " &amp; (INT((B113 - DATE(2026,8,3)) / 7) + 1)</f>
        <v>Week 2</v>
      </c>
    </row>
    <row r="114" spans="2:9" ht="26.25" customHeight="1">
      <c r="B114" s="26">
        <v>46250</v>
      </c>
      <c r="C114" s="31" t="s">
        <v>101</v>
      </c>
      <c r="D114" s="36">
        <v>2</v>
      </c>
      <c r="E114" s="35">
        <v>45</v>
      </c>
      <c r="F114" s="35">
        <v>36.9</v>
      </c>
      <c r="G114" s="35">
        <f>(E114-F114)*D114</f>
        <v>16.200000000000003</v>
      </c>
      <c r="H114" s="35" t="str">
        <f>TEXT(B114,"dddd")</f>
        <v>Sunday</v>
      </c>
      <c r="I114" s="37" t="str">
        <f>"Week " &amp; (INT((B114 - DATE(2026,8,3)) / 7) + 1)</f>
        <v>Week 2</v>
      </c>
    </row>
    <row r="115" spans="2:9" ht="26.25" customHeight="1">
      <c r="B115" s="26">
        <v>46250</v>
      </c>
      <c r="C115" s="31" t="s">
        <v>99</v>
      </c>
      <c r="D115" s="36">
        <v>1</v>
      </c>
      <c r="E115" s="35">
        <v>90</v>
      </c>
      <c r="F115" s="35">
        <v>65</v>
      </c>
      <c r="G115" s="35">
        <f>(E115-F115)*D115</f>
        <v>25</v>
      </c>
      <c r="H115" s="35" t="str">
        <f>TEXT(B115,"dddd")</f>
        <v>Sunday</v>
      </c>
      <c r="I115" s="37" t="str">
        <f>"Week " &amp; (INT((B115 - DATE(2026,8,3)) / 7) + 1)</f>
        <v>Week 2</v>
      </c>
    </row>
    <row r="116" spans="2:9" ht="26.25" customHeight="1">
      <c r="B116" s="26">
        <v>46250</v>
      </c>
      <c r="C116" s="31" t="s">
        <v>102</v>
      </c>
      <c r="D116" s="36">
        <v>1</v>
      </c>
      <c r="E116" s="35">
        <v>1600</v>
      </c>
      <c r="F116" s="35">
        <v>1440</v>
      </c>
      <c r="G116" s="35">
        <f>(E116-F116)*D116</f>
        <v>160</v>
      </c>
      <c r="H116" s="35" t="str">
        <f>TEXT(B116,"dddd")</f>
        <v>Sunday</v>
      </c>
      <c r="I116" s="37" t="str">
        <f>"Week " &amp; (INT((B116 - DATE(2026,8,3)) / 7) + 1)</f>
        <v>Week 2</v>
      </c>
    </row>
    <row r="117" spans="2:9" ht="26.25" customHeight="1">
      <c r="B117" s="26">
        <v>46250</v>
      </c>
      <c r="C117" s="31" t="s">
        <v>103</v>
      </c>
      <c r="D117" s="36">
        <v>3</v>
      </c>
      <c r="E117" s="35">
        <v>15</v>
      </c>
      <c r="F117" s="35">
        <v>9.8000000000000007</v>
      </c>
      <c r="G117" s="35">
        <f>(E117-F117)*D117</f>
        <v>15.599999999999998</v>
      </c>
      <c r="H117" s="35" t="str">
        <f>TEXT(B117,"dddd")</f>
        <v>Sunday</v>
      </c>
      <c r="I117" s="37" t="str">
        <f>"Week " &amp; (INT((B117 - DATE(2026,8,3)) / 7) + 1)</f>
        <v>Week 2</v>
      </c>
    </row>
    <row r="118" spans="2:9" ht="26.25" customHeight="1">
      <c r="B118" s="26">
        <v>46250</v>
      </c>
      <c r="C118" s="31" t="s">
        <v>104</v>
      </c>
      <c r="D118" s="36">
        <v>5</v>
      </c>
      <c r="E118" s="35">
        <v>15</v>
      </c>
      <c r="F118" s="35">
        <v>11</v>
      </c>
      <c r="G118" s="35">
        <f>(E118-F118)*D118</f>
        <v>20</v>
      </c>
      <c r="H118" s="35" t="str">
        <f>TEXT(B118,"dddd")</f>
        <v>Sunday</v>
      </c>
      <c r="I118" s="37" t="str">
        <f>"Week " &amp; (INT((B118 - DATE(2026,8,3)) / 7) + 1)</f>
        <v>Week 2</v>
      </c>
    </row>
    <row r="119" spans="2:9" ht="26.25" customHeight="1">
      <c r="B119" s="26">
        <v>46251</v>
      </c>
      <c r="C119" s="31" t="s">
        <v>75</v>
      </c>
      <c r="D119" s="31">
        <v>10</v>
      </c>
      <c r="E119" s="15">
        <v>170</v>
      </c>
      <c r="F119" s="15">
        <v>152.5</v>
      </c>
      <c r="G119" s="15">
        <f>(E119-F119)*D119</f>
        <v>175</v>
      </c>
      <c r="H119" s="15" t="str">
        <f>TEXT(B119,"dddd")</f>
        <v>Monday</v>
      </c>
      <c r="I119" s="19" t="str">
        <f>"Week " &amp; (INT((B119 - DATE(2026,8,3)) / 7) + 1)</f>
        <v>Week 3</v>
      </c>
    </row>
    <row r="120" spans="2:9" ht="26.25" customHeight="1">
      <c r="B120" s="26">
        <v>46251</v>
      </c>
      <c r="C120" s="31" t="s">
        <v>105</v>
      </c>
      <c r="D120" s="36">
        <v>12</v>
      </c>
      <c r="E120" s="35">
        <v>10</v>
      </c>
      <c r="F120" s="35">
        <v>6.5</v>
      </c>
      <c r="G120" s="35">
        <f>(E120-F120)*D120</f>
        <v>42</v>
      </c>
      <c r="H120" s="35" t="str">
        <f>TEXT(B120,"dddd")</f>
        <v>Monday</v>
      </c>
      <c r="I120" s="37" t="str">
        <f>"Week " &amp; (INT((B120 - DATE(2026,8,3)) / 7) + 1)</f>
        <v>Week 3</v>
      </c>
    </row>
    <row r="121" spans="2:9" ht="26.25" customHeight="1">
      <c r="B121" s="26">
        <v>46251</v>
      </c>
      <c r="C121" s="31" t="s">
        <v>76</v>
      </c>
      <c r="D121" s="36">
        <v>5</v>
      </c>
      <c r="E121" s="35">
        <v>15</v>
      </c>
      <c r="F121" s="35">
        <v>12.5</v>
      </c>
      <c r="G121" s="35">
        <f>(E121-F121)*D121</f>
        <v>12.5</v>
      </c>
      <c r="H121" s="35" t="str">
        <f>TEXT(B121,"dddd")</f>
        <v>Monday</v>
      </c>
      <c r="I121" s="37" t="str">
        <f>"Week " &amp; (INT((B121 - DATE(2026,8,3)) / 7) + 1)</f>
        <v>Week 3</v>
      </c>
    </row>
    <row r="122" spans="2:9" ht="26.25" customHeight="1">
      <c r="B122" s="26">
        <v>46251</v>
      </c>
      <c r="C122" s="31" t="s">
        <v>106</v>
      </c>
      <c r="D122" s="36">
        <v>1</v>
      </c>
      <c r="E122" s="35">
        <v>380</v>
      </c>
      <c r="F122" s="35">
        <v>342</v>
      </c>
      <c r="G122" s="35">
        <f>(E122-F122)*D122</f>
        <v>38</v>
      </c>
      <c r="H122" s="35" t="str">
        <f>TEXT(B122,"dddd")</f>
        <v>Monday</v>
      </c>
      <c r="I122" s="37" t="str">
        <f>"Week " &amp; (INT((B122 - DATE(2026,8,3)) / 7) + 1)</f>
        <v>Week 3</v>
      </c>
    </row>
    <row r="123" spans="2:9" ht="26.25" customHeight="1">
      <c r="B123" s="26">
        <v>46251</v>
      </c>
      <c r="C123" s="31" t="s">
        <v>87</v>
      </c>
      <c r="D123" s="36">
        <v>1</v>
      </c>
      <c r="E123" s="35">
        <v>65</v>
      </c>
      <c r="F123" s="35">
        <v>51</v>
      </c>
      <c r="G123" s="35">
        <f>(E123-F123)*D123</f>
        <v>14</v>
      </c>
      <c r="H123" s="35" t="str">
        <f>TEXT(B123,"dddd")</f>
        <v>Monday</v>
      </c>
      <c r="I123" s="37" t="str">
        <f>"Week " &amp; (INT((B123 - DATE(2026,8,3)) / 7) + 1)</f>
        <v>Week 3</v>
      </c>
    </row>
    <row r="124" spans="2:9" ht="26.25" customHeight="1">
      <c r="B124" s="26">
        <v>46251</v>
      </c>
      <c r="C124" s="31" t="s">
        <v>107</v>
      </c>
      <c r="D124" s="36">
        <v>1</v>
      </c>
      <c r="E124" s="35">
        <v>55</v>
      </c>
      <c r="F124" s="35">
        <v>46</v>
      </c>
      <c r="G124" s="35">
        <f>(E124-F124)*D124</f>
        <v>9</v>
      </c>
      <c r="H124" s="35" t="str">
        <f>TEXT(B124,"dddd")</f>
        <v>Monday</v>
      </c>
      <c r="I124" s="37" t="str">
        <f>"Week " &amp; (INT((B124 - DATE(2026,8,3)) / 7) + 1)</f>
        <v>Week 3</v>
      </c>
    </row>
    <row r="125" spans="2:9" ht="26.25" customHeight="1">
      <c r="B125" s="26">
        <v>46251</v>
      </c>
      <c r="C125" s="31" t="s">
        <v>31</v>
      </c>
      <c r="D125" s="36">
        <v>1</v>
      </c>
      <c r="E125" s="35">
        <v>60</v>
      </c>
      <c r="F125" s="35">
        <v>38</v>
      </c>
      <c r="G125" s="35">
        <f>(E125-F125)*D125</f>
        <v>22</v>
      </c>
      <c r="H125" s="35" t="str">
        <f>TEXT(B125,"dddd")</f>
        <v>Monday</v>
      </c>
      <c r="I125" s="37" t="str">
        <f>"Week " &amp; (INT((B125 - DATE(2026,8,3)) / 7) + 1)</f>
        <v>Week 3</v>
      </c>
    </row>
    <row r="126" spans="2:9" ht="26.25" customHeight="1">
      <c r="B126" s="26">
        <v>46251</v>
      </c>
      <c r="C126" s="31" t="s">
        <v>78</v>
      </c>
      <c r="D126" s="36">
        <v>1</v>
      </c>
      <c r="E126" s="35">
        <v>220</v>
      </c>
      <c r="F126" s="35">
        <v>180</v>
      </c>
      <c r="G126" s="35">
        <f>(E126-F126)*D126</f>
        <v>40</v>
      </c>
      <c r="H126" s="35" t="str">
        <f>TEXT(B126,"dddd")</f>
        <v>Monday</v>
      </c>
      <c r="I126" s="37" t="str">
        <f>"Week " &amp; (INT((B126 - DATE(2026,8,3)) / 7) + 1)</f>
        <v>Week 3</v>
      </c>
    </row>
    <row r="127" spans="2:9" ht="26.25" customHeight="1">
      <c r="B127" s="26">
        <v>46251</v>
      </c>
      <c r="C127" s="31" t="s">
        <v>108</v>
      </c>
      <c r="D127" s="36">
        <v>1</v>
      </c>
      <c r="E127" s="35">
        <v>5600</v>
      </c>
      <c r="F127" s="35">
        <v>5400</v>
      </c>
      <c r="G127" s="35">
        <f>(E127-F127)*D127</f>
        <v>200</v>
      </c>
      <c r="H127" s="35" t="str">
        <f>TEXT(B127,"dddd")</f>
        <v>Monday</v>
      </c>
      <c r="I127" s="28" t="str">
        <f>"Week " &amp; (INT((B127 - DATE(2026,8,3)) / 7) + 1)</f>
        <v>Week 3</v>
      </c>
    </row>
    <row r="128" spans="2:9" ht="26.25" customHeight="1">
      <c r="B128" s="26">
        <v>46252</v>
      </c>
      <c r="C128" s="31" t="s">
        <v>48</v>
      </c>
      <c r="D128" s="36">
        <v>1</v>
      </c>
      <c r="E128" s="35">
        <v>2600</v>
      </c>
      <c r="F128" s="35">
        <v>2350</v>
      </c>
      <c r="G128" s="35">
        <f>(E128-F128)*D128</f>
        <v>250</v>
      </c>
      <c r="H128" s="35" t="str">
        <f>TEXT(B128,"dddd")</f>
        <v>Tuesday</v>
      </c>
      <c r="I128" s="28" t="str">
        <f>"Week " &amp; (INT((B128 - DATE(2026,8,3)) / 7) + 1)</f>
        <v>Week 3</v>
      </c>
    </row>
    <row r="129" spans="2:9" ht="26.25" customHeight="1">
      <c r="B129" s="26">
        <v>46252</v>
      </c>
      <c r="C129" s="31" t="s">
        <v>109</v>
      </c>
      <c r="D129" s="36">
        <v>1</v>
      </c>
      <c r="E129" s="35">
        <v>230</v>
      </c>
      <c r="F129" s="35">
        <v>177</v>
      </c>
      <c r="G129" s="35">
        <f>(E129-F129)*D129</f>
        <v>53</v>
      </c>
      <c r="H129" s="35" t="str">
        <f>TEXT(B129,"dddd")</f>
        <v>Tuesday</v>
      </c>
      <c r="I129" s="37" t="str">
        <f>"Week " &amp; (INT((B129 - DATE(2026,8,3)) / 7) + 1)</f>
        <v>Week 3</v>
      </c>
    </row>
    <row r="130" spans="2:9" ht="26.25" customHeight="1">
      <c r="B130" s="26">
        <v>46252</v>
      </c>
      <c r="C130" s="31" t="s">
        <v>46</v>
      </c>
      <c r="D130" s="36">
        <v>1</v>
      </c>
      <c r="E130" s="35">
        <v>90</v>
      </c>
      <c r="F130" s="35">
        <v>72</v>
      </c>
      <c r="G130" s="35">
        <f>(E130-F130)*D130</f>
        <v>18</v>
      </c>
      <c r="H130" s="35" t="str">
        <f>TEXT(B130,"dddd")</f>
        <v>Tuesday</v>
      </c>
      <c r="I130" s="37" t="str">
        <f>"Week " &amp; (INT((B130 - DATE(2026,8,3)) / 7) + 1)</f>
        <v>Week 3</v>
      </c>
    </row>
    <row r="131" spans="2:9" ht="26.25" customHeight="1">
      <c r="B131" s="26">
        <v>46252</v>
      </c>
      <c r="C131" s="31" t="s">
        <v>85</v>
      </c>
      <c r="D131" s="36">
        <v>1</v>
      </c>
      <c r="E131" s="35">
        <v>110</v>
      </c>
      <c r="F131" s="35">
        <v>80</v>
      </c>
      <c r="G131" s="35">
        <f>(E131-F131)*D131</f>
        <v>30</v>
      </c>
      <c r="H131" s="35" t="str">
        <f>TEXT(B131,"dddd")</f>
        <v>Tuesday</v>
      </c>
      <c r="I131" s="37" t="str">
        <f>"Week " &amp; (INT((B131 - DATE(2026,8,3)) / 7) + 1)</f>
        <v>Week 3</v>
      </c>
    </row>
    <row r="132" spans="2:9" ht="26.25" customHeight="1">
      <c r="B132" s="26">
        <v>46252</v>
      </c>
      <c r="C132" s="31" t="s">
        <v>110</v>
      </c>
      <c r="D132" s="36">
        <v>1</v>
      </c>
      <c r="E132" s="35">
        <v>60</v>
      </c>
      <c r="F132" s="35">
        <v>38</v>
      </c>
      <c r="G132" s="35">
        <f>(E132-F132)*D132</f>
        <v>22</v>
      </c>
      <c r="H132" s="35" t="str">
        <f>TEXT(B132,"dddd")</f>
        <v>Tuesday</v>
      </c>
      <c r="I132" s="37" t="str">
        <f>"Week " &amp; (INT((B132 - DATE(2026,8,3)) / 7) + 1)</f>
        <v>Week 3</v>
      </c>
    </row>
    <row r="133" spans="2:9" ht="26.25" customHeight="1">
      <c r="B133" s="26">
        <v>46252</v>
      </c>
      <c r="C133" s="31" t="s">
        <v>49</v>
      </c>
      <c r="D133" s="36">
        <v>1</v>
      </c>
      <c r="E133" s="35">
        <v>70</v>
      </c>
      <c r="F133" s="35">
        <v>52</v>
      </c>
      <c r="G133" s="35">
        <f>(E133-F133)*D133</f>
        <v>18</v>
      </c>
      <c r="H133" s="35" t="str">
        <f>TEXT(B133,"dddd")</f>
        <v>Tuesday</v>
      </c>
      <c r="I133" s="37" t="str">
        <f>"Week " &amp; (INT((B133 - DATE(2026,8,3)) / 7) + 1)</f>
        <v>Week 3</v>
      </c>
    </row>
    <row r="134" spans="2:9" ht="26.25" customHeight="1">
      <c r="B134" s="26">
        <v>46252</v>
      </c>
      <c r="C134" s="31" t="s">
        <v>51</v>
      </c>
      <c r="D134" s="36">
        <v>1</v>
      </c>
      <c r="E134" s="35">
        <v>40</v>
      </c>
      <c r="F134" s="35">
        <v>33</v>
      </c>
      <c r="G134" s="35">
        <f>(E134-F134)*D134</f>
        <v>7</v>
      </c>
      <c r="H134" s="35" t="str">
        <f>TEXT(B134,"dddd")</f>
        <v>Tuesday</v>
      </c>
      <c r="I134" s="37" t="str">
        <f>"Week " &amp; (INT((B134 - DATE(2026,8,3)) / 7) + 1)</f>
        <v>Week 3</v>
      </c>
    </row>
    <row r="135" spans="2:9" ht="26.25" customHeight="1">
      <c r="B135" s="26">
        <v>46252</v>
      </c>
      <c r="C135" s="31" t="s">
        <v>50</v>
      </c>
      <c r="D135" s="36">
        <v>2</v>
      </c>
      <c r="E135" s="35">
        <v>120</v>
      </c>
      <c r="F135" s="35">
        <v>84</v>
      </c>
      <c r="G135" s="35">
        <f>(E135-F135)*D135</f>
        <v>72</v>
      </c>
      <c r="H135" s="35" t="str">
        <f>TEXT(B135,"dddd")</f>
        <v>Tuesday</v>
      </c>
      <c r="I135" s="37" t="str">
        <f>"Week " &amp; (INT((B135 - DATE(2026,8,3)) / 7) + 1)</f>
        <v>Week 3</v>
      </c>
    </row>
    <row r="136" spans="2:9" ht="26.25" customHeight="1">
      <c r="B136" s="26">
        <v>46252</v>
      </c>
      <c r="C136" s="31" t="s">
        <v>111</v>
      </c>
      <c r="D136" s="36">
        <v>1</v>
      </c>
      <c r="E136" s="30">
        <v>80</v>
      </c>
      <c r="F136" s="30">
        <v>56</v>
      </c>
      <c r="G136" s="30">
        <f>(E136-F136)*D136</f>
        <v>24</v>
      </c>
      <c r="H136" s="30" t="str">
        <f>TEXT(B136,"dddd")</f>
        <v>Tuesday</v>
      </c>
      <c r="I136" s="37" t="str">
        <f>"Week " &amp; (INT((B136 - DATE(2026,8,3)) / 7) + 1)</f>
        <v>Week 3</v>
      </c>
    </row>
    <row r="137" spans="2:9" ht="26.25" customHeight="1">
      <c r="B137" s="26">
        <v>46253</v>
      </c>
      <c r="C137" s="31" t="s">
        <v>40</v>
      </c>
      <c r="D137" s="36">
        <v>6</v>
      </c>
      <c r="E137" s="35">
        <v>330</v>
      </c>
      <c r="F137" s="35">
        <v>302</v>
      </c>
      <c r="G137" s="35">
        <f>(E137-F137)*D137</f>
        <v>168</v>
      </c>
      <c r="H137" s="35" t="str">
        <f>TEXT(B137,"dddd")</f>
        <v>Wednesday</v>
      </c>
      <c r="I137" s="28" t="str">
        <f>"Week " &amp; (INT((B137 - DATE(2026,8,3)) / 7) + 1)</f>
        <v>Week 3</v>
      </c>
    </row>
    <row r="138" spans="2:9" ht="26.25" customHeight="1">
      <c r="B138" s="26">
        <v>46253</v>
      </c>
      <c r="C138" s="31" t="s">
        <v>44</v>
      </c>
      <c r="D138" s="36">
        <v>10</v>
      </c>
      <c r="E138" s="35">
        <v>20</v>
      </c>
      <c r="F138" s="35">
        <v>16.5</v>
      </c>
      <c r="G138" s="35">
        <f>(E138-F138)*D138</f>
        <v>35</v>
      </c>
      <c r="H138" s="35" t="str">
        <f>TEXT(B138,"dddd")</f>
        <v>Wednesday</v>
      </c>
      <c r="I138" s="37" t="str">
        <f>"Week " &amp; (INT((B138 - DATE(2026,8,3)) / 7) + 1)</f>
        <v>Week 3</v>
      </c>
    </row>
    <row r="139" spans="2:9" ht="26.25" customHeight="1">
      <c r="B139" s="26">
        <v>46253</v>
      </c>
      <c r="C139" s="31" t="s">
        <v>94</v>
      </c>
      <c r="D139" s="36">
        <v>4</v>
      </c>
      <c r="E139" s="35">
        <v>30</v>
      </c>
      <c r="F139" s="35">
        <v>18</v>
      </c>
      <c r="G139" s="35">
        <f>(E139-F139)*D139</f>
        <v>48</v>
      </c>
      <c r="H139" s="35" t="str">
        <f>TEXT(B139,"dddd")</f>
        <v>Wednesday</v>
      </c>
      <c r="I139" s="37" t="str">
        <f>"Week " &amp; (INT((B139 - DATE(2026,8,3)) / 7) + 1)</f>
        <v>Week 3</v>
      </c>
    </row>
    <row r="140" spans="2:9" ht="26.25" customHeight="1">
      <c r="B140" s="26">
        <v>46253</v>
      </c>
      <c r="C140" s="31" t="s">
        <v>95</v>
      </c>
      <c r="D140" s="36">
        <v>1</v>
      </c>
      <c r="E140" s="35">
        <v>140</v>
      </c>
      <c r="F140" s="35">
        <v>112</v>
      </c>
      <c r="G140" s="35">
        <f>(E140-F140)*D140</f>
        <v>28</v>
      </c>
      <c r="H140" s="35" t="str">
        <f>TEXT(B140,"dddd")</f>
        <v>Wednesday</v>
      </c>
      <c r="I140" s="37" t="str">
        <f>"Week " &amp; (INT((B140 - DATE(2026,8,3)) / 7) + 1)</f>
        <v>Week 3</v>
      </c>
    </row>
    <row r="141" spans="2:9" ht="26.25" customHeight="1">
      <c r="B141" s="26">
        <v>46253</v>
      </c>
      <c r="C141" s="31" t="s">
        <v>75</v>
      </c>
      <c r="D141" s="36">
        <v>2</v>
      </c>
      <c r="E141" s="35">
        <v>175</v>
      </c>
      <c r="F141" s="35">
        <v>152.5</v>
      </c>
      <c r="G141" s="35">
        <f t="shared" ref="G141:G142" si="9">(E141-F141)*D141</f>
        <v>45</v>
      </c>
      <c r="H141" s="35" t="str">
        <f t="shared" ref="H141:H142" si="10">TEXT(B141,"dddd")</f>
        <v>Wednesday</v>
      </c>
      <c r="I141" s="28" t="str">
        <f t="shared" ref="I141:I142" si="11">"Week " &amp; (INT((B141 - DATE(2026,8,3)) / 7) + 1)</f>
        <v>Week 3</v>
      </c>
    </row>
    <row r="142" spans="2:9" ht="26.25" customHeight="1">
      <c r="B142" s="26">
        <v>46253</v>
      </c>
      <c r="C142" s="31" t="s">
        <v>76</v>
      </c>
      <c r="D142" s="36">
        <v>5</v>
      </c>
      <c r="E142" s="35">
        <v>15</v>
      </c>
      <c r="F142" s="35">
        <v>12.5</v>
      </c>
      <c r="G142" s="35">
        <f t="shared" si="9"/>
        <v>12.5</v>
      </c>
      <c r="H142" s="35" t="str">
        <f t="shared" si="10"/>
        <v>Wednesday</v>
      </c>
      <c r="I142" s="28" t="str">
        <f t="shared" si="11"/>
        <v>Week 3</v>
      </c>
    </row>
    <row r="143" spans="2:9" ht="26.25" customHeight="1">
      <c r="B143" s="26">
        <v>46253</v>
      </c>
      <c r="C143" s="31" t="s">
        <v>87</v>
      </c>
      <c r="D143" s="36">
        <v>1</v>
      </c>
      <c r="E143" s="35">
        <v>70</v>
      </c>
      <c r="F143" s="35">
        <v>51</v>
      </c>
      <c r="G143" s="35">
        <f>(E143-F143)*D143</f>
        <v>19</v>
      </c>
      <c r="H143" s="35" t="str">
        <f>TEXT(B143,"dddd")</f>
        <v>Wednesday</v>
      </c>
      <c r="I143" s="37" t="str">
        <f>"Week " &amp; (INT((B143 - DATE(2026,8,3)) / 7) + 1)</f>
        <v>Week 3</v>
      </c>
    </row>
    <row r="144" spans="2:9" ht="26.25" customHeight="1">
      <c r="B144" s="26">
        <v>46253</v>
      </c>
      <c r="C144" s="31" t="s">
        <v>31</v>
      </c>
      <c r="D144" s="36">
        <v>1</v>
      </c>
      <c r="E144" s="35">
        <v>60</v>
      </c>
      <c r="F144" s="35">
        <v>38</v>
      </c>
      <c r="G144" s="35">
        <f>(E144-F144)*D144</f>
        <v>22</v>
      </c>
      <c r="H144" s="35" t="str">
        <f>TEXT(B144,"dddd")</f>
        <v>Wednesday</v>
      </c>
      <c r="I144" s="37" t="str">
        <f>"Week " &amp; (INT((B144 - DATE(2026,8,3)) / 7) + 1)</f>
        <v>Week 3</v>
      </c>
    </row>
    <row r="145" spans="2:9" ht="26.25" customHeight="1">
      <c r="B145" s="16">
        <v>46254</v>
      </c>
      <c r="C145" s="31" t="s">
        <v>112</v>
      </c>
      <c r="D145" s="31">
        <v>3</v>
      </c>
      <c r="E145" s="50">
        <v>1350</v>
      </c>
      <c r="F145" s="50">
        <v>1265</v>
      </c>
      <c r="G145" s="50">
        <f>(E145-F145)*D145</f>
        <v>255</v>
      </c>
      <c r="H145" s="50" t="str">
        <f>TEXT(B145,"dddd")</f>
        <v>Thursday</v>
      </c>
      <c r="I145" s="19" t="str">
        <f>"Week " &amp; (INT((B145 - DATE(2026,8,3)) / 7) + 1)</f>
        <v>Week 3</v>
      </c>
    </row>
    <row r="146" spans="2:9" ht="26.25" customHeight="1">
      <c r="B146" s="16">
        <v>46254</v>
      </c>
      <c r="C146" s="39" t="s">
        <v>113</v>
      </c>
      <c r="D146" s="39">
        <v>5</v>
      </c>
      <c r="E146" s="35">
        <v>490</v>
      </c>
      <c r="F146" s="35">
        <v>456</v>
      </c>
      <c r="G146" s="35">
        <f>(E146-F146)*D146</f>
        <v>170</v>
      </c>
      <c r="H146" s="35" t="str">
        <f>TEXT(B146,"dddd")</f>
        <v>Thursday</v>
      </c>
      <c r="I146" s="37" t="str">
        <f>"Week " &amp; (INT((B146 - DATE(2026,8,3)) / 7) + 1)</f>
        <v>Week 3</v>
      </c>
    </row>
    <row r="147" spans="2:9" ht="26.25" customHeight="1">
      <c r="B147" s="16">
        <v>46254</v>
      </c>
      <c r="C147" s="39" t="s">
        <v>114</v>
      </c>
      <c r="D147" s="39">
        <v>10</v>
      </c>
      <c r="E147" s="35">
        <v>50</v>
      </c>
      <c r="F147" s="35">
        <v>37</v>
      </c>
      <c r="G147" s="35">
        <f>(E147-F147)*D147</f>
        <v>130</v>
      </c>
      <c r="H147" s="35" t="str">
        <f>TEXT(B147,"dddd")</f>
        <v>Thursday</v>
      </c>
      <c r="I147" s="37" t="str">
        <f>"Week " &amp; (INT((B147 - DATE(2026,8,3)) / 7) + 1)</f>
        <v>Week 3</v>
      </c>
    </row>
    <row r="148" spans="2:9" ht="26.25" customHeight="1">
      <c r="B148" s="16">
        <v>46254</v>
      </c>
      <c r="C148" s="39" t="s">
        <v>115</v>
      </c>
      <c r="D148" s="39">
        <v>1</v>
      </c>
      <c r="E148" s="35">
        <v>800</v>
      </c>
      <c r="F148" s="35">
        <v>670</v>
      </c>
      <c r="G148" s="35">
        <f>(E148-F148)*D148</f>
        <v>130</v>
      </c>
      <c r="H148" s="35" t="str">
        <f>TEXT(B148,"dddd")</f>
        <v>Thursday</v>
      </c>
      <c r="I148" s="37" t="str">
        <f>"Week " &amp; (INT((B148 - DATE(2026,8,3)) / 7) + 1)</f>
        <v>Week 3</v>
      </c>
    </row>
    <row r="149" spans="2:9" ht="26.25" customHeight="1">
      <c r="B149" s="16">
        <v>46254</v>
      </c>
      <c r="C149" s="39" t="s">
        <v>96</v>
      </c>
      <c r="D149" s="39">
        <v>1</v>
      </c>
      <c r="E149" s="35">
        <v>1200</v>
      </c>
      <c r="F149" s="35">
        <v>1050</v>
      </c>
      <c r="G149" s="35">
        <f>(E149-F149)*D149</f>
        <v>150</v>
      </c>
      <c r="H149" s="35" t="str">
        <f>TEXT(B149,"dddd")</f>
        <v>Thursday</v>
      </c>
      <c r="I149" s="37" t="str">
        <f>"Week " &amp; (INT((B149 - DATE(2026,8,3)) / 7) + 1)</f>
        <v>Week 3</v>
      </c>
    </row>
    <row r="150" spans="2:9" ht="26.25" customHeight="1">
      <c r="B150" s="16">
        <v>46254</v>
      </c>
      <c r="C150" s="31" t="s">
        <v>78</v>
      </c>
      <c r="D150" s="31">
        <v>1</v>
      </c>
      <c r="E150" s="30">
        <v>160</v>
      </c>
      <c r="F150" s="30">
        <v>140</v>
      </c>
      <c r="G150" s="30">
        <f>(E150-F150)*D150</f>
        <v>20</v>
      </c>
      <c r="H150" s="30" t="str">
        <f>TEXT(B150,"dddd")</f>
        <v>Thursday</v>
      </c>
      <c r="I150" s="37" t="str">
        <f>"Week " &amp; (INT((B150 - DATE(2026,8,3)) / 7) + 1)</f>
        <v>Week 3</v>
      </c>
    </row>
    <row r="151" spans="2:9" ht="26.25" customHeight="1">
      <c r="B151" s="51">
        <v>46255</v>
      </c>
      <c r="C151" s="5" t="s">
        <v>33</v>
      </c>
      <c r="D151" s="6">
        <v>4</v>
      </c>
      <c r="E151" s="35">
        <v>550</v>
      </c>
      <c r="F151" s="35">
        <v>523</v>
      </c>
      <c r="G151" s="35">
        <f>(E151-F151)*D151</f>
        <v>108</v>
      </c>
      <c r="H151" s="35" t="str">
        <f>TEXT(B151,"dddd")</f>
        <v>Friday</v>
      </c>
      <c r="I151" s="28" t="str">
        <f>"Week " &amp; (INT((B151 - DATE(2026,8,3)) / 7) + 1)</f>
        <v>Week 3</v>
      </c>
    </row>
    <row r="152" spans="2:9" ht="26.25" customHeight="1">
      <c r="B152" s="54">
        <v>46255</v>
      </c>
      <c r="C152" s="55" t="s">
        <v>34</v>
      </c>
      <c r="D152" s="56">
        <v>3</v>
      </c>
      <c r="E152" s="57">
        <v>90</v>
      </c>
      <c r="F152" s="57">
        <v>78</v>
      </c>
      <c r="G152" s="38">
        <f t="shared" ref="G152:G158" si="12">(E152-F152)*D152</f>
        <v>36</v>
      </c>
      <c r="H152" s="38" t="str">
        <f t="shared" ref="H152:H158" si="13">TEXT(B152,"dddd")</f>
        <v>Friday</v>
      </c>
      <c r="I152" s="19" t="str">
        <f t="shared" ref="I152:I158" si="14">"Week " &amp; (INT((B152 - DATE(2026,8,3)) / 7) + 1)</f>
        <v>Week 3</v>
      </c>
    </row>
    <row r="153" spans="2:9" ht="26.25" customHeight="1">
      <c r="B153" s="52">
        <v>46255</v>
      </c>
      <c r="C153" s="5" t="s">
        <v>35</v>
      </c>
      <c r="D153" s="6">
        <v>8</v>
      </c>
      <c r="E153" s="12">
        <v>110</v>
      </c>
      <c r="F153" s="12">
        <v>89</v>
      </c>
      <c r="G153" s="33">
        <f t="shared" si="12"/>
        <v>168</v>
      </c>
      <c r="H153" s="33" t="str">
        <f t="shared" si="13"/>
        <v>Friday</v>
      </c>
      <c r="I153" s="19" t="str">
        <f t="shared" si="14"/>
        <v>Week 3</v>
      </c>
    </row>
    <row r="154" spans="2:9" ht="26.25" customHeight="1">
      <c r="B154" s="52">
        <v>46255</v>
      </c>
      <c r="C154" s="5" t="s">
        <v>116</v>
      </c>
      <c r="D154" s="6">
        <v>1</v>
      </c>
      <c r="E154" s="12">
        <v>160</v>
      </c>
      <c r="F154" s="12">
        <v>144</v>
      </c>
      <c r="G154" s="33">
        <f t="shared" si="12"/>
        <v>16</v>
      </c>
      <c r="H154" s="33" t="str">
        <f t="shared" si="13"/>
        <v>Friday</v>
      </c>
      <c r="I154" s="19" t="str">
        <f t="shared" si="14"/>
        <v>Week 3</v>
      </c>
    </row>
    <row r="155" spans="2:9" ht="26.25" customHeight="1">
      <c r="B155" s="52">
        <v>46255</v>
      </c>
      <c r="C155" s="5" t="s">
        <v>37</v>
      </c>
      <c r="D155" s="6">
        <v>2</v>
      </c>
      <c r="E155" s="12">
        <v>35</v>
      </c>
      <c r="F155" s="12">
        <v>28</v>
      </c>
      <c r="G155" s="33">
        <f t="shared" si="12"/>
        <v>14</v>
      </c>
      <c r="H155" s="33" t="str">
        <f t="shared" si="13"/>
        <v>Friday</v>
      </c>
      <c r="I155" s="19" t="str">
        <f t="shared" si="14"/>
        <v>Week 3</v>
      </c>
    </row>
    <row r="156" spans="2:9" ht="26.25" customHeight="1">
      <c r="B156" s="52">
        <v>46255</v>
      </c>
      <c r="C156" s="31" t="s">
        <v>117</v>
      </c>
      <c r="D156" s="31">
        <v>1</v>
      </c>
      <c r="E156" s="33">
        <v>110</v>
      </c>
      <c r="F156" s="33">
        <v>89</v>
      </c>
      <c r="G156" s="33">
        <f t="shared" si="12"/>
        <v>21</v>
      </c>
      <c r="H156" s="33" t="str">
        <f t="shared" si="13"/>
        <v>Friday</v>
      </c>
      <c r="I156" s="19" t="str">
        <f t="shared" si="14"/>
        <v>Week 3</v>
      </c>
    </row>
    <row r="157" spans="2:9" ht="26.25" customHeight="1">
      <c r="B157" s="52">
        <v>46255</v>
      </c>
      <c r="C157" s="31" t="s">
        <v>58</v>
      </c>
      <c r="D157" s="31">
        <v>6</v>
      </c>
      <c r="E157" s="33">
        <v>10</v>
      </c>
      <c r="F157" s="33">
        <v>9.1</v>
      </c>
      <c r="G157" s="33">
        <f t="shared" si="12"/>
        <v>5.4000000000000021</v>
      </c>
      <c r="H157" s="33" t="str">
        <f t="shared" si="13"/>
        <v>Friday</v>
      </c>
      <c r="I157" s="19" t="str">
        <f t="shared" si="14"/>
        <v>Week 3</v>
      </c>
    </row>
    <row r="158" spans="2:9" ht="26.25" customHeight="1">
      <c r="B158" s="52">
        <v>46255</v>
      </c>
      <c r="C158" s="31" t="s">
        <v>118</v>
      </c>
      <c r="D158" s="31">
        <v>12</v>
      </c>
      <c r="E158" s="34">
        <v>25</v>
      </c>
      <c r="F158" s="34">
        <v>18</v>
      </c>
      <c r="G158" s="34">
        <f t="shared" si="12"/>
        <v>84</v>
      </c>
      <c r="H158" s="34" t="str">
        <f t="shared" si="13"/>
        <v>Friday</v>
      </c>
      <c r="I158" s="18" t="str">
        <f t="shared" si="14"/>
        <v>Week 3</v>
      </c>
    </row>
    <row r="159" spans="2:9" ht="26.25" customHeight="1">
      <c r="B159" s="51">
        <v>46256</v>
      </c>
      <c r="C159" s="58" t="s">
        <v>119</v>
      </c>
      <c r="D159" s="39">
        <v>3</v>
      </c>
      <c r="E159" s="35">
        <v>750</v>
      </c>
      <c r="F159" s="35">
        <v>660</v>
      </c>
      <c r="G159" s="35">
        <f>(E159-F159)*D159</f>
        <v>270</v>
      </c>
      <c r="H159" s="35" t="str">
        <f>TEXT(B159,"dddd")</f>
        <v>Saturday</v>
      </c>
      <c r="I159" s="28" t="str">
        <f>"Week " &amp; (INT((B159 - DATE(2026,8,3)) / 7) + 1)</f>
        <v>Week 3</v>
      </c>
    </row>
    <row r="160" spans="2:9" ht="26.25" customHeight="1">
      <c r="B160" s="54">
        <v>46256</v>
      </c>
      <c r="C160" s="31" t="s">
        <v>70</v>
      </c>
      <c r="D160" s="31">
        <v>6</v>
      </c>
      <c r="E160" s="53">
        <v>70</v>
      </c>
      <c r="F160" s="53">
        <v>54.5</v>
      </c>
      <c r="G160" s="53">
        <f t="shared" ref="G160:G166" si="15">(E160-F160)*D160</f>
        <v>93</v>
      </c>
      <c r="H160" s="53" t="str">
        <f t="shared" ref="H160:H166" si="16">TEXT(B160,"dddd")</f>
        <v>Saturday</v>
      </c>
      <c r="I160" s="19" t="str">
        <f t="shared" ref="I160:I166" si="17">"Week " &amp; (INT((B160 - DATE(2026,8,3)) / 7) + 1)</f>
        <v>Week 3</v>
      </c>
    </row>
    <row r="161" spans="2:9" ht="26.25" customHeight="1">
      <c r="B161" s="52">
        <v>46256</v>
      </c>
      <c r="C161" s="31" t="s">
        <v>83</v>
      </c>
      <c r="D161" s="31">
        <v>20</v>
      </c>
      <c r="E161" s="33">
        <v>10</v>
      </c>
      <c r="F161" s="33">
        <v>8</v>
      </c>
      <c r="G161" s="33">
        <f t="shared" si="15"/>
        <v>40</v>
      </c>
      <c r="H161" s="33" t="str">
        <f t="shared" si="16"/>
        <v>Saturday</v>
      </c>
      <c r="I161" s="19" t="str">
        <f t="shared" si="17"/>
        <v>Week 3</v>
      </c>
    </row>
    <row r="162" spans="2:9" ht="26.25" customHeight="1">
      <c r="B162" s="52">
        <v>46256</v>
      </c>
      <c r="C162" s="31" t="s">
        <v>120</v>
      </c>
      <c r="D162" s="31">
        <v>1</v>
      </c>
      <c r="E162" s="33">
        <v>1080</v>
      </c>
      <c r="F162" s="33">
        <v>870</v>
      </c>
      <c r="G162" s="33">
        <f t="shared" si="15"/>
        <v>210</v>
      </c>
      <c r="H162" s="33" t="str">
        <f t="shared" si="16"/>
        <v>Saturday</v>
      </c>
      <c r="I162" s="19" t="str">
        <f t="shared" si="17"/>
        <v>Week 3</v>
      </c>
    </row>
    <row r="163" spans="2:9" ht="26.25" customHeight="1">
      <c r="B163" s="52">
        <v>46256</v>
      </c>
      <c r="C163" s="31" t="s">
        <v>31</v>
      </c>
      <c r="D163" s="31">
        <v>8</v>
      </c>
      <c r="E163" s="33">
        <v>60</v>
      </c>
      <c r="F163" s="33">
        <v>38</v>
      </c>
      <c r="G163" s="33">
        <f t="shared" si="15"/>
        <v>176</v>
      </c>
      <c r="H163" s="33" t="str">
        <f t="shared" si="16"/>
        <v>Saturday</v>
      </c>
      <c r="I163" s="19" t="str">
        <f t="shared" si="17"/>
        <v>Week 3</v>
      </c>
    </row>
    <row r="164" spans="2:9" ht="26.25" customHeight="1">
      <c r="B164" s="52">
        <v>46256</v>
      </c>
      <c r="C164" s="31" t="s">
        <v>109</v>
      </c>
      <c r="D164" s="31">
        <v>1</v>
      </c>
      <c r="E164" s="33">
        <v>230</v>
      </c>
      <c r="F164" s="33">
        <v>176</v>
      </c>
      <c r="G164" s="33">
        <f t="shared" si="15"/>
        <v>54</v>
      </c>
      <c r="H164" s="33" t="str">
        <f t="shared" si="16"/>
        <v>Saturday</v>
      </c>
      <c r="I164" s="19" t="str">
        <f t="shared" si="17"/>
        <v>Week 3</v>
      </c>
    </row>
    <row r="165" spans="2:9" ht="26.25" customHeight="1">
      <c r="B165" s="52">
        <v>46256</v>
      </c>
      <c r="C165" s="31" t="s">
        <v>121</v>
      </c>
      <c r="D165" s="31">
        <v>1</v>
      </c>
      <c r="E165" s="34">
        <v>220</v>
      </c>
      <c r="F165" s="34">
        <v>160</v>
      </c>
      <c r="G165" s="34">
        <f t="shared" si="15"/>
        <v>60</v>
      </c>
      <c r="H165" s="34" t="str">
        <f t="shared" si="16"/>
        <v>Saturday</v>
      </c>
      <c r="I165" s="18" t="str">
        <f t="shared" si="17"/>
        <v>Week 3</v>
      </c>
    </row>
    <row r="166" spans="2:9" ht="26.25" customHeight="1">
      <c r="B166" s="51">
        <v>46257</v>
      </c>
      <c r="C166" s="31" t="s">
        <v>56</v>
      </c>
      <c r="D166" s="36">
        <v>1</v>
      </c>
      <c r="E166" s="35">
        <v>1300</v>
      </c>
      <c r="F166" s="35">
        <v>1172</v>
      </c>
      <c r="G166" s="35">
        <f t="shared" si="15"/>
        <v>128</v>
      </c>
      <c r="H166" s="35" t="str">
        <f t="shared" si="16"/>
        <v>Sunday</v>
      </c>
      <c r="I166" s="35" t="str">
        <f t="shared" si="17"/>
        <v>Week 3</v>
      </c>
    </row>
    <row r="167" spans="2:9" ht="26.25" customHeight="1">
      <c r="B167" s="54">
        <v>46257</v>
      </c>
      <c r="C167" s="31" t="s">
        <v>33</v>
      </c>
      <c r="D167" s="31">
        <v>4</v>
      </c>
      <c r="E167" s="15">
        <v>550</v>
      </c>
      <c r="F167" s="15">
        <v>525</v>
      </c>
      <c r="G167" s="38">
        <f t="shared" ref="G167:G173" si="18">(E167-F167)*D167</f>
        <v>100</v>
      </c>
      <c r="H167" s="38" t="str">
        <f t="shared" ref="H167:H173" si="19">TEXT(B167,"dddd")</f>
        <v>Sunday</v>
      </c>
      <c r="I167" s="25" t="str">
        <f t="shared" ref="I167:I173" si="20">"Week " &amp; (INT((B167 - DATE(2026,8,3)) / 7) + 1)</f>
        <v>Week 3</v>
      </c>
    </row>
    <row r="168" spans="2:9" ht="26.25" customHeight="1">
      <c r="B168" s="52">
        <v>46257</v>
      </c>
      <c r="C168" s="39" t="s">
        <v>97</v>
      </c>
      <c r="D168" s="39">
        <v>1</v>
      </c>
      <c r="E168" s="35">
        <v>380</v>
      </c>
      <c r="F168" s="35">
        <v>335</v>
      </c>
      <c r="G168" s="33">
        <f t="shared" si="18"/>
        <v>45</v>
      </c>
      <c r="H168" s="33" t="str">
        <f t="shared" si="19"/>
        <v>Sunday</v>
      </c>
      <c r="I168" s="19" t="str">
        <f t="shared" si="20"/>
        <v>Week 3</v>
      </c>
    </row>
    <row r="169" spans="2:9" ht="26.25" customHeight="1">
      <c r="B169" s="52">
        <v>46257</v>
      </c>
      <c r="C169" s="31" t="s">
        <v>98</v>
      </c>
      <c r="D169" s="31">
        <v>1</v>
      </c>
      <c r="E169" s="15">
        <v>50</v>
      </c>
      <c r="F169" s="15">
        <v>22</v>
      </c>
      <c r="G169" s="33">
        <f t="shared" si="18"/>
        <v>28</v>
      </c>
      <c r="H169" s="33" t="str">
        <f t="shared" si="19"/>
        <v>Sunday</v>
      </c>
      <c r="I169" s="19" t="str">
        <f t="shared" si="20"/>
        <v>Week 3</v>
      </c>
    </row>
    <row r="170" spans="2:9" ht="26.25" customHeight="1">
      <c r="B170" s="52">
        <v>46257</v>
      </c>
      <c r="C170" s="39" t="s">
        <v>122</v>
      </c>
      <c r="D170" s="39">
        <v>1</v>
      </c>
      <c r="E170" s="35">
        <v>90</v>
      </c>
      <c r="F170" s="35">
        <v>75</v>
      </c>
      <c r="G170" s="33">
        <f t="shared" si="18"/>
        <v>15</v>
      </c>
      <c r="H170" s="33" t="str">
        <f t="shared" si="19"/>
        <v>Sunday</v>
      </c>
      <c r="I170" s="19" t="str">
        <f t="shared" si="20"/>
        <v>Week 3</v>
      </c>
    </row>
    <row r="171" spans="2:9" ht="26.25" customHeight="1">
      <c r="B171" s="52">
        <v>46257</v>
      </c>
      <c r="C171" s="31" t="s">
        <v>116</v>
      </c>
      <c r="D171" s="31">
        <v>2</v>
      </c>
      <c r="E171" s="33">
        <v>160</v>
      </c>
      <c r="F171" s="33">
        <v>144</v>
      </c>
      <c r="G171" s="33">
        <f t="shared" si="18"/>
        <v>32</v>
      </c>
      <c r="H171" s="33" t="str">
        <f t="shared" si="19"/>
        <v>Sunday</v>
      </c>
      <c r="I171" s="19" t="str">
        <f t="shared" si="20"/>
        <v>Week 3</v>
      </c>
    </row>
    <row r="172" spans="2:9" ht="26.25" customHeight="1">
      <c r="B172" s="52">
        <v>46257</v>
      </c>
      <c r="C172" s="31" t="s">
        <v>117</v>
      </c>
      <c r="D172" s="31">
        <v>2</v>
      </c>
      <c r="E172" s="33">
        <v>110</v>
      </c>
      <c r="F172" s="33">
        <v>89</v>
      </c>
      <c r="G172" s="33">
        <f t="shared" si="18"/>
        <v>42</v>
      </c>
      <c r="H172" s="33" t="str">
        <f t="shared" si="19"/>
        <v>Sunday</v>
      </c>
      <c r="I172" s="19" t="str">
        <f t="shared" si="20"/>
        <v>Week 3</v>
      </c>
    </row>
    <row r="173" spans="2:9" ht="26.25" customHeight="1">
      <c r="B173" s="52">
        <v>46257</v>
      </c>
      <c r="C173" s="31" t="s">
        <v>78</v>
      </c>
      <c r="D173" s="31">
        <v>1</v>
      </c>
      <c r="E173" s="34">
        <v>165</v>
      </c>
      <c r="F173" s="34">
        <v>140</v>
      </c>
      <c r="G173" s="34">
        <f t="shared" si="18"/>
        <v>25</v>
      </c>
      <c r="H173" s="34" t="str">
        <f t="shared" si="19"/>
        <v>Sunday</v>
      </c>
      <c r="I173" s="18" t="str">
        <f t="shared" si="20"/>
        <v>Week 3</v>
      </c>
    </row>
    <row r="174" spans="2:9" ht="26.25" customHeight="1">
      <c r="B174" s="52">
        <v>46258</v>
      </c>
      <c r="C174" s="7" t="s">
        <v>123</v>
      </c>
      <c r="D174" s="31">
        <v>2</v>
      </c>
      <c r="E174" s="34">
        <v>540</v>
      </c>
      <c r="F174" s="34">
        <v>480</v>
      </c>
      <c r="G174" s="53">
        <f t="shared" ref="G174:G205" si="21">(E174-F174)*D174</f>
        <v>120</v>
      </c>
      <c r="H174" s="53" t="str">
        <f t="shared" ref="H174:H205" si="22">TEXT(B174,"dddd")</f>
        <v>Monday</v>
      </c>
      <c r="I174" s="19" t="str">
        <f t="shared" ref="I174:I205" si="23">"Week " &amp; (INT((B174 - DATE(2026,8,3)) / 7) + 1)</f>
        <v>Week 4</v>
      </c>
    </row>
    <row r="175" spans="2:9" ht="26.25" customHeight="1">
      <c r="B175" s="52">
        <v>46258</v>
      </c>
      <c r="C175" s="70" t="s">
        <v>89</v>
      </c>
      <c r="D175" s="31">
        <v>2</v>
      </c>
      <c r="E175" s="34">
        <v>40</v>
      </c>
      <c r="F175" s="34">
        <v>44.5</v>
      </c>
      <c r="G175" s="33">
        <f t="shared" si="21"/>
        <v>-9</v>
      </c>
      <c r="H175" s="33" t="str">
        <f t="shared" si="22"/>
        <v>Monday</v>
      </c>
      <c r="I175" s="19" t="str">
        <f t="shared" si="23"/>
        <v>Week 4</v>
      </c>
    </row>
    <row r="176" spans="2:9" ht="26.25" customHeight="1">
      <c r="B176" s="52">
        <v>46258</v>
      </c>
      <c r="C176" s="70" t="s">
        <v>124</v>
      </c>
      <c r="D176" s="31">
        <v>2</v>
      </c>
      <c r="E176" s="34">
        <v>25</v>
      </c>
      <c r="F176" s="34">
        <v>21</v>
      </c>
      <c r="G176" s="33">
        <f t="shared" si="21"/>
        <v>8</v>
      </c>
      <c r="H176" s="33" t="str">
        <f t="shared" si="22"/>
        <v>Monday</v>
      </c>
      <c r="I176" s="19" t="str">
        <f t="shared" si="23"/>
        <v>Week 4</v>
      </c>
    </row>
    <row r="177" spans="2:9" ht="26.25" customHeight="1">
      <c r="B177" s="52">
        <v>46258</v>
      </c>
      <c r="C177" s="70" t="s">
        <v>28</v>
      </c>
      <c r="D177" s="31">
        <v>1</v>
      </c>
      <c r="E177" s="34">
        <v>20</v>
      </c>
      <c r="F177" s="34">
        <v>14</v>
      </c>
      <c r="G177" s="33">
        <f t="shared" si="21"/>
        <v>6</v>
      </c>
      <c r="H177" s="33" t="str">
        <f t="shared" si="22"/>
        <v>Monday</v>
      </c>
      <c r="I177" s="19" t="str">
        <f t="shared" si="23"/>
        <v>Week 4</v>
      </c>
    </row>
    <row r="178" spans="2:9" ht="26.25" customHeight="1">
      <c r="B178" s="52">
        <v>46258</v>
      </c>
      <c r="C178" s="70" t="s">
        <v>75</v>
      </c>
      <c r="D178" s="31">
        <v>6</v>
      </c>
      <c r="E178" s="34">
        <v>180</v>
      </c>
      <c r="F178" s="34">
        <v>167</v>
      </c>
      <c r="G178" s="33">
        <f t="shared" si="21"/>
        <v>78</v>
      </c>
      <c r="H178" s="33" t="str">
        <f t="shared" si="22"/>
        <v>Monday</v>
      </c>
      <c r="I178" s="19" t="str">
        <f t="shared" si="23"/>
        <v>Week 4</v>
      </c>
    </row>
    <row r="179" spans="2:9" ht="26.25" customHeight="1">
      <c r="B179" s="52">
        <v>46258</v>
      </c>
      <c r="C179" s="70" t="s">
        <v>125</v>
      </c>
      <c r="D179" s="31">
        <v>12</v>
      </c>
      <c r="E179" s="34">
        <v>15</v>
      </c>
      <c r="F179" s="34">
        <v>12.5</v>
      </c>
      <c r="G179" s="33">
        <f t="shared" si="21"/>
        <v>30</v>
      </c>
      <c r="H179" s="33" t="str">
        <f t="shared" si="22"/>
        <v>Monday</v>
      </c>
      <c r="I179" s="19" t="str">
        <f t="shared" si="23"/>
        <v>Week 4</v>
      </c>
    </row>
    <row r="180" spans="2:9" ht="26.25" customHeight="1">
      <c r="B180" s="52">
        <v>46258</v>
      </c>
      <c r="C180" s="70" t="s">
        <v>105</v>
      </c>
      <c r="D180" s="31">
        <v>6</v>
      </c>
      <c r="E180" s="34">
        <v>10</v>
      </c>
      <c r="F180" s="34">
        <v>8.4</v>
      </c>
      <c r="G180" s="33">
        <f t="shared" si="21"/>
        <v>9.5999999999999979</v>
      </c>
      <c r="H180" s="33" t="str">
        <f t="shared" si="22"/>
        <v>Monday</v>
      </c>
      <c r="I180" s="19" t="str">
        <f t="shared" si="23"/>
        <v>Week 4</v>
      </c>
    </row>
    <row r="181" spans="2:9" ht="26.25" customHeight="1">
      <c r="B181" s="52">
        <v>46258</v>
      </c>
      <c r="C181" s="70" t="s">
        <v>126</v>
      </c>
      <c r="D181" s="31">
        <v>2</v>
      </c>
      <c r="E181" s="34">
        <v>40</v>
      </c>
      <c r="F181" s="34">
        <v>31</v>
      </c>
      <c r="G181" s="33">
        <f t="shared" si="21"/>
        <v>18</v>
      </c>
      <c r="H181" s="33" t="str">
        <f t="shared" si="22"/>
        <v>Monday</v>
      </c>
      <c r="I181" s="19" t="str">
        <f t="shared" si="23"/>
        <v>Week 4</v>
      </c>
    </row>
    <row r="182" spans="2:9" ht="26.25" customHeight="1">
      <c r="B182" s="52">
        <v>46259</v>
      </c>
      <c r="C182" s="70" t="s">
        <v>106</v>
      </c>
      <c r="D182" s="31">
        <v>1</v>
      </c>
      <c r="E182" s="34">
        <v>310</v>
      </c>
      <c r="F182" s="34">
        <v>269</v>
      </c>
      <c r="G182" s="33">
        <f t="shared" si="21"/>
        <v>41</v>
      </c>
      <c r="H182" s="33" t="str">
        <f t="shared" si="22"/>
        <v>Tuesday</v>
      </c>
      <c r="I182" s="19" t="str">
        <f t="shared" si="23"/>
        <v>Week 4</v>
      </c>
    </row>
    <row r="183" spans="2:9" ht="26.25" customHeight="1">
      <c r="B183" s="52">
        <v>46259</v>
      </c>
      <c r="C183" s="70" t="s">
        <v>127</v>
      </c>
      <c r="D183" s="31">
        <v>1</v>
      </c>
      <c r="E183" s="34">
        <v>60</v>
      </c>
      <c r="F183" s="34">
        <v>51</v>
      </c>
      <c r="G183" s="33">
        <f t="shared" si="21"/>
        <v>9</v>
      </c>
      <c r="H183" s="33" t="str">
        <f t="shared" si="22"/>
        <v>Tuesday</v>
      </c>
      <c r="I183" s="19" t="str">
        <f t="shared" si="23"/>
        <v>Week 4</v>
      </c>
    </row>
    <row r="184" spans="2:9" ht="26.25" customHeight="1">
      <c r="B184" s="52">
        <v>46259</v>
      </c>
      <c r="C184" s="70" t="s">
        <v>123</v>
      </c>
      <c r="D184" s="31">
        <v>1</v>
      </c>
      <c r="E184" s="34">
        <v>550</v>
      </c>
      <c r="F184" s="34">
        <v>480</v>
      </c>
      <c r="G184" s="33">
        <f t="shared" si="21"/>
        <v>70</v>
      </c>
      <c r="H184" s="33" t="str">
        <f t="shared" si="22"/>
        <v>Tuesday</v>
      </c>
      <c r="I184" s="19" t="str">
        <f t="shared" si="23"/>
        <v>Week 4</v>
      </c>
    </row>
    <row r="185" spans="2:9" ht="26.25" customHeight="1">
      <c r="B185" s="52">
        <v>46259</v>
      </c>
      <c r="C185" s="70" t="s">
        <v>40</v>
      </c>
      <c r="D185" s="31">
        <v>3</v>
      </c>
      <c r="E185" s="34">
        <v>325</v>
      </c>
      <c r="F185" s="34">
        <v>297</v>
      </c>
      <c r="G185" s="33">
        <f t="shared" si="21"/>
        <v>84</v>
      </c>
      <c r="H185" s="33" t="str">
        <f t="shared" si="22"/>
        <v>Tuesday</v>
      </c>
      <c r="I185" s="19" t="str">
        <f t="shared" si="23"/>
        <v>Week 4</v>
      </c>
    </row>
    <row r="186" spans="2:9" ht="26.25" customHeight="1">
      <c r="B186" s="52">
        <v>46259</v>
      </c>
      <c r="C186" s="70" t="s">
        <v>93</v>
      </c>
      <c r="D186" s="31">
        <v>6</v>
      </c>
      <c r="E186" s="34">
        <v>60</v>
      </c>
      <c r="F186" s="34">
        <v>51</v>
      </c>
      <c r="G186" s="33">
        <f t="shared" si="21"/>
        <v>54</v>
      </c>
      <c r="H186" s="33" t="str">
        <f t="shared" si="22"/>
        <v>Tuesday</v>
      </c>
      <c r="I186" s="19" t="str">
        <f t="shared" si="23"/>
        <v>Week 4</v>
      </c>
    </row>
    <row r="187" spans="2:9" ht="26.25" customHeight="1">
      <c r="B187" s="52">
        <v>46259</v>
      </c>
      <c r="C187" s="70" t="s">
        <v>92</v>
      </c>
      <c r="D187" s="31">
        <v>6</v>
      </c>
      <c r="E187" s="34">
        <v>170</v>
      </c>
      <c r="F187" s="34">
        <v>145</v>
      </c>
      <c r="G187" s="33">
        <f t="shared" si="21"/>
        <v>150</v>
      </c>
      <c r="H187" s="33" t="str">
        <f t="shared" si="22"/>
        <v>Tuesday</v>
      </c>
      <c r="I187" s="19" t="str">
        <f t="shared" si="23"/>
        <v>Week 4</v>
      </c>
    </row>
    <row r="188" spans="2:9" ht="26.25" customHeight="1">
      <c r="B188" s="52">
        <v>46259</v>
      </c>
      <c r="C188" s="70" t="s">
        <v>54</v>
      </c>
      <c r="D188" s="31">
        <v>1</v>
      </c>
      <c r="E188" s="34">
        <v>60</v>
      </c>
      <c r="F188" s="34">
        <v>47</v>
      </c>
      <c r="G188" s="33">
        <f t="shared" si="21"/>
        <v>13</v>
      </c>
      <c r="H188" s="33" t="str">
        <f t="shared" si="22"/>
        <v>Tuesday</v>
      </c>
      <c r="I188" s="19" t="str">
        <f t="shared" si="23"/>
        <v>Week 4</v>
      </c>
    </row>
    <row r="189" spans="2:9" ht="26.25" customHeight="1">
      <c r="B189" s="52">
        <v>46259</v>
      </c>
      <c r="C189" s="70" t="s">
        <v>102</v>
      </c>
      <c r="D189" s="31">
        <v>1</v>
      </c>
      <c r="E189" s="34">
        <v>1650</v>
      </c>
      <c r="F189" s="34">
        <v>1376</v>
      </c>
      <c r="G189" s="33">
        <f t="shared" si="21"/>
        <v>274</v>
      </c>
      <c r="H189" s="33" t="str">
        <f t="shared" si="22"/>
        <v>Tuesday</v>
      </c>
      <c r="I189" s="19" t="str">
        <f t="shared" si="23"/>
        <v>Week 4</v>
      </c>
    </row>
    <row r="190" spans="2:9" ht="26.25" customHeight="1">
      <c r="B190" s="52">
        <v>46259</v>
      </c>
      <c r="C190" s="70" t="s">
        <v>103</v>
      </c>
      <c r="D190" s="31">
        <v>4</v>
      </c>
      <c r="E190" s="34">
        <v>10</v>
      </c>
      <c r="F190" s="34">
        <v>8.3000000000000007</v>
      </c>
      <c r="G190" s="33">
        <f t="shared" si="21"/>
        <v>6.7999999999999972</v>
      </c>
      <c r="H190" s="33" t="str">
        <f t="shared" si="22"/>
        <v>Tuesday</v>
      </c>
      <c r="I190" s="19" t="str">
        <f t="shared" si="23"/>
        <v>Week 4</v>
      </c>
    </row>
    <row r="191" spans="2:9" ht="26.25" customHeight="1">
      <c r="B191" s="52">
        <v>46259</v>
      </c>
      <c r="C191" s="70" t="s">
        <v>128</v>
      </c>
      <c r="D191" s="31">
        <v>12</v>
      </c>
      <c r="E191" s="34">
        <v>10</v>
      </c>
      <c r="F191" s="34">
        <v>8</v>
      </c>
      <c r="G191" s="33">
        <f t="shared" si="21"/>
        <v>24</v>
      </c>
      <c r="H191" s="33" t="str">
        <f t="shared" si="22"/>
        <v>Tuesday</v>
      </c>
      <c r="I191" s="19" t="str">
        <f t="shared" si="23"/>
        <v>Week 4</v>
      </c>
    </row>
    <row r="192" spans="2:9" ht="26.25" customHeight="1">
      <c r="B192" s="52">
        <v>46259</v>
      </c>
      <c r="C192" s="70" t="s">
        <v>75</v>
      </c>
      <c r="D192" s="31">
        <v>2</v>
      </c>
      <c r="E192" s="34">
        <v>180</v>
      </c>
      <c r="F192" s="34">
        <v>163</v>
      </c>
      <c r="G192" s="33">
        <f t="shared" si="21"/>
        <v>34</v>
      </c>
      <c r="H192" s="33" t="str">
        <f t="shared" si="22"/>
        <v>Tuesday</v>
      </c>
      <c r="I192" s="19" t="str">
        <f t="shared" si="23"/>
        <v>Week 4</v>
      </c>
    </row>
    <row r="193" spans="2:9" ht="26.25" customHeight="1">
      <c r="B193" s="52">
        <v>46259</v>
      </c>
      <c r="C193" s="70" t="s">
        <v>31</v>
      </c>
      <c r="D193" s="31">
        <v>2</v>
      </c>
      <c r="E193" s="34">
        <v>50</v>
      </c>
      <c r="F193" s="34">
        <v>32</v>
      </c>
      <c r="G193" s="33">
        <f t="shared" si="21"/>
        <v>36</v>
      </c>
      <c r="H193" s="33" t="str">
        <f t="shared" si="22"/>
        <v>Tuesday</v>
      </c>
      <c r="I193" s="19" t="str">
        <f t="shared" si="23"/>
        <v>Week 4</v>
      </c>
    </row>
    <row r="194" spans="2:9" ht="26.25" customHeight="1">
      <c r="B194" s="52">
        <v>46260</v>
      </c>
      <c r="C194" s="70" t="s">
        <v>129</v>
      </c>
      <c r="D194" s="31">
        <v>1</v>
      </c>
      <c r="E194" s="34">
        <v>6800</v>
      </c>
      <c r="F194" s="34">
        <v>6350</v>
      </c>
      <c r="G194" s="33">
        <f t="shared" si="21"/>
        <v>450</v>
      </c>
      <c r="H194" s="33" t="str">
        <f t="shared" si="22"/>
        <v>Wednesday</v>
      </c>
      <c r="I194" s="19" t="str">
        <f t="shared" si="23"/>
        <v>Week 4</v>
      </c>
    </row>
    <row r="195" spans="2:9" ht="26.25" customHeight="1">
      <c r="B195" s="52">
        <v>46260</v>
      </c>
      <c r="C195" s="70" t="s">
        <v>75</v>
      </c>
      <c r="D195" s="31">
        <v>20</v>
      </c>
      <c r="E195" s="34">
        <v>175</v>
      </c>
      <c r="F195" s="34">
        <v>167</v>
      </c>
      <c r="G195" s="33">
        <f t="shared" si="21"/>
        <v>160</v>
      </c>
      <c r="H195" s="33" t="str">
        <f t="shared" si="22"/>
        <v>Wednesday</v>
      </c>
      <c r="I195" s="19" t="str">
        <f t="shared" si="23"/>
        <v>Week 4</v>
      </c>
    </row>
    <row r="196" spans="2:9" ht="26.25" customHeight="1">
      <c r="B196" s="52">
        <v>46260</v>
      </c>
      <c r="C196" s="70" t="s">
        <v>105</v>
      </c>
      <c r="D196" s="31">
        <v>20</v>
      </c>
      <c r="E196" s="34">
        <v>14</v>
      </c>
      <c r="F196" s="34">
        <v>12.5</v>
      </c>
      <c r="G196" s="33">
        <f t="shared" si="21"/>
        <v>30</v>
      </c>
      <c r="H196" s="33" t="str">
        <f t="shared" si="22"/>
        <v>Wednesday</v>
      </c>
      <c r="I196" s="19" t="str">
        <f t="shared" si="23"/>
        <v>Week 4</v>
      </c>
    </row>
    <row r="197" spans="2:9" ht="26.25" customHeight="1">
      <c r="B197" s="52">
        <v>46260</v>
      </c>
      <c r="C197" s="70" t="s">
        <v>89</v>
      </c>
      <c r="D197" s="31">
        <v>2</v>
      </c>
      <c r="E197" s="34">
        <v>40</v>
      </c>
      <c r="F197" s="34">
        <v>33.5</v>
      </c>
      <c r="G197" s="33">
        <f t="shared" si="21"/>
        <v>13</v>
      </c>
      <c r="H197" s="33" t="str">
        <f t="shared" si="22"/>
        <v>Wednesday</v>
      </c>
      <c r="I197" s="19" t="str">
        <f t="shared" si="23"/>
        <v>Week 4</v>
      </c>
    </row>
    <row r="198" spans="2:9" ht="26.25" customHeight="1">
      <c r="B198" s="52">
        <v>46260</v>
      </c>
      <c r="C198" s="70" t="s">
        <v>124</v>
      </c>
      <c r="D198" s="31">
        <v>2</v>
      </c>
      <c r="E198" s="34">
        <v>25</v>
      </c>
      <c r="F198" s="34">
        <v>21</v>
      </c>
      <c r="G198" s="33">
        <f t="shared" si="21"/>
        <v>8</v>
      </c>
      <c r="H198" s="33" t="str">
        <f t="shared" si="22"/>
        <v>Wednesday</v>
      </c>
      <c r="I198" s="19" t="str">
        <f t="shared" si="23"/>
        <v>Week 4</v>
      </c>
    </row>
    <row r="199" spans="2:9" ht="26.25" customHeight="1">
      <c r="B199" s="52">
        <v>46260</v>
      </c>
      <c r="C199" s="70" t="s">
        <v>76</v>
      </c>
      <c r="D199" s="31">
        <v>8</v>
      </c>
      <c r="E199" s="34">
        <v>15</v>
      </c>
      <c r="F199" s="34">
        <v>12.5</v>
      </c>
      <c r="G199" s="33">
        <f t="shared" si="21"/>
        <v>20</v>
      </c>
      <c r="H199" s="33" t="str">
        <f t="shared" si="22"/>
        <v>Wednesday</v>
      </c>
      <c r="I199" s="19" t="str">
        <f t="shared" si="23"/>
        <v>Week 4</v>
      </c>
    </row>
    <row r="200" spans="2:9" ht="26.25" customHeight="1">
      <c r="B200" s="52">
        <v>46260</v>
      </c>
      <c r="C200" s="70" t="s">
        <v>127</v>
      </c>
      <c r="D200" s="31">
        <v>3</v>
      </c>
      <c r="E200" s="34">
        <v>60</v>
      </c>
      <c r="F200" s="34">
        <v>48</v>
      </c>
      <c r="G200" s="33">
        <f t="shared" si="21"/>
        <v>36</v>
      </c>
      <c r="H200" s="33" t="str">
        <f t="shared" si="22"/>
        <v>Wednesday</v>
      </c>
      <c r="I200" s="19" t="str">
        <f t="shared" si="23"/>
        <v>Week 4</v>
      </c>
    </row>
    <row r="201" spans="2:9" ht="26.25" customHeight="1">
      <c r="B201" s="52">
        <v>46260</v>
      </c>
      <c r="C201" s="70" t="s">
        <v>106</v>
      </c>
      <c r="D201" s="31">
        <v>1</v>
      </c>
      <c r="E201" s="34">
        <v>300</v>
      </c>
      <c r="F201" s="34">
        <v>269</v>
      </c>
      <c r="G201" s="33">
        <f t="shared" si="21"/>
        <v>31</v>
      </c>
      <c r="H201" s="33" t="str">
        <f t="shared" si="22"/>
        <v>Wednesday</v>
      </c>
      <c r="I201" s="19" t="str">
        <f t="shared" si="23"/>
        <v>Week 4</v>
      </c>
    </row>
    <row r="202" spans="2:9" ht="26.25" customHeight="1">
      <c r="B202" s="52">
        <v>46260</v>
      </c>
      <c r="C202" s="70" t="s">
        <v>99</v>
      </c>
      <c r="D202" s="31">
        <v>4</v>
      </c>
      <c r="E202" s="34">
        <v>110</v>
      </c>
      <c r="F202" s="34">
        <v>88</v>
      </c>
      <c r="G202" s="50">
        <f t="shared" si="21"/>
        <v>88</v>
      </c>
      <c r="H202" s="70" t="str">
        <f t="shared" si="22"/>
        <v>Wednesday</v>
      </c>
      <c r="I202" s="19" t="str">
        <f t="shared" si="23"/>
        <v>Week 4</v>
      </c>
    </row>
    <row r="203" spans="2:9" ht="26.25" customHeight="1">
      <c r="B203" s="52">
        <v>46260</v>
      </c>
      <c r="C203" s="70" t="s">
        <v>130</v>
      </c>
      <c r="D203" s="31">
        <v>50</v>
      </c>
      <c r="E203" s="34">
        <v>10</v>
      </c>
      <c r="F203" s="34">
        <v>8.3000000000000007</v>
      </c>
      <c r="G203" s="50">
        <f t="shared" si="21"/>
        <v>84.999999999999972</v>
      </c>
      <c r="H203" s="70" t="str">
        <f t="shared" si="22"/>
        <v>Wednesday</v>
      </c>
      <c r="I203" s="19" t="str">
        <f t="shared" si="23"/>
        <v>Week 4</v>
      </c>
    </row>
    <row r="204" spans="2:9" ht="26.25" customHeight="1">
      <c r="B204" s="52">
        <v>46260</v>
      </c>
      <c r="C204" s="70" t="s">
        <v>31</v>
      </c>
      <c r="D204" s="31">
        <v>2</v>
      </c>
      <c r="E204" s="34">
        <v>60</v>
      </c>
      <c r="F204" s="34">
        <v>42</v>
      </c>
      <c r="G204" s="50">
        <f t="shared" si="21"/>
        <v>36</v>
      </c>
      <c r="H204" s="70" t="str">
        <f t="shared" si="22"/>
        <v>Wednesday</v>
      </c>
      <c r="I204" s="19" t="str">
        <f t="shared" si="23"/>
        <v>Week 4</v>
      </c>
    </row>
    <row r="205" spans="2:9" ht="26.25" customHeight="1">
      <c r="B205" s="52">
        <v>46261</v>
      </c>
      <c r="C205" s="70" t="s">
        <v>131</v>
      </c>
      <c r="D205" s="31">
        <v>2</v>
      </c>
      <c r="E205" s="34">
        <v>50</v>
      </c>
      <c r="F205" s="34">
        <v>37</v>
      </c>
      <c r="G205" s="50">
        <f t="shared" si="21"/>
        <v>26</v>
      </c>
      <c r="H205" s="70" t="str">
        <f t="shared" si="22"/>
        <v>Thursday</v>
      </c>
      <c r="I205" s="19" t="str">
        <f t="shared" si="23"/>
        <v>Week 4</v>
      </c>
    </row>
    <row r="206" spans="2:9" ht="26.25" customHeight="1">
      <c r="B206" s="52">
        <v>46261</v>
      </c>
      <c r="C206" s="70" t="s">
        <v>58</v>
      </c>
      <c r="D206" s="31">
        <v>3</v>
      </c>
      <c r="E206" s="34">
        <v>110</v>
      </c>
      <c r="F206" s="34">
        <v>90</v>
      </c>
      <c r="G206" s="50">
        <f t="shared" ref="G206:G237" si="24">(E206-F206)*D206</f>
        <v>60</v>
      </c>
      <c r="H206" s="70" t="str">
        <f t="shared" ref="H206:H237" si="25">TEXT(B206,"dddd")</f>
        <v>Thursday</v>
      </c>
      <c r="I206" s="19" t="str">
        <f t="shared" ref="I206:I237" si="26">"Week " &amp; (INT((B206 - DATE(2026,8,3)) / 7) + 1)</f>
        <v>Week 4</v>
      </c>
    </row>
    <row r="207" spans="2:9" ht="26.25" customHeight="1">
      <c r="B207" s="52">
        <v>46261</v>
      </c>
      <c r="C207" s="70" t="s">
        <v>38</v>
      </c>
      <c r="D207" s="31">
        <v>5</v>
      </c>
      <c r="E207" s="34">
        <v>10</v>
      </c>
      <c r="F207" s="34">
        <v>9.1</v>
      </c>
      <c r="G207" s="50">
        <f t="shared" si="24"/>
        <v>4.5000000000000018</v>
      </c>
      <c r="H207" s="70" t="str">
        <f t="shared" si="25"/>
        <v>Thursday</v>
      </c>
      <c r="I207" s="19" t="str">
        <f t="shared" si="26"/>
        <v>Week 4</v>
      </c>
    </row>
    <row r="208" spans="2:9" ht="26.25" customHeight="1">
      <c r="B208" s="52">
        <v>46261</v>
      </c>
      <c r="C208" s="70" t="s">
        <v>40</v>
      </c>
      <c r="D208" s="31">
        <v>1</v>
      </c>
      <c r="E208" s="34">
        <v>325</v>
      </c>
      <c r="F208" s="34">
        <v>297</v>
      </c>
      <c r="G208" s="50">
        <f t="shared" si="24"/>
        <v>28</v>
      </c>
      <c r="H208" s="70" t="str">
        <f t="shared" si="25"/>
        <v>Thursday</v>
      </c>
      <c r="I208" s="19" t="str">
        <f t="shared" si="26"/>
        <v>Week 4</v>
      </c>
    </row>
    <row r="209" spans="2:9" ht="26.25" customHeight="1">
      <c r="B209" s="52">
        <v>46261</v>
      </c>
      <c r="C209" s="70" t="s">
        <v>41</v>
      </c>
      <c r="D209" s="31">
        <v>1</v>
      </c>
      <c r="E209" s="34">
        <v>90</v>
      </c>
      <c r="F209" s="34">
        <v>78</v>
      </c>
      <c r="G209" s="50">
        <f t="shared" si="24"/>
        <v>12</v>
      </c>
      <c r="H209" s="70" t="str">
        <f t="shared" si="25"/>
        <v>Thursday</v>
      </c>
      <c r="I209" s="19" t="str">
        <f t="shared" si="26"/>
        <v>Week 4</v>
      </c>
    </row>
    <row r="210" spans="2:9" ht="26.25" customHeight="1">
      <c r="B210" s="52">
        <v>46261</v>
      </c>
      <c r="C210" s="70" t="s">
        <v>28</v>
      </c>
      <c r="D210" s="31">
        <v>1</v>
      </c>
      <c r="E210" s="34">
        <v>20</v>
      </c>
      <c r="F210" s="34">
        <v>14</v>
      </c>
      <c r="G210" s="50">
        <f t="shared" si="24"/>
        <v>6</v>
      </c>
      <c r="H210" s="70" t="str">
        <f t="shared" si="25"/>
        <v>Thursday</v>
      </c>
      <c r="I210" s="19" t="str">
        <f t="shared" si="26"/>
        <v>Week 4</v>
      </c>
    </row>
    <row r="211" spans="2:9" ht="26.25" customHeight="1">
      <c r="B211" s="52">
        <v>46261</v>
      </c>
      <c r="C211" s="70" t="s">
        <v>69</v>
      </c>
      <c r="D211" s="31">
        <v>2</v>
      </c>
      <c r="E211" s="34">
        <v>360</v>
      </c>
      <c r="F211" s="34">
        <v>332</v>
      </c>
      <c r="G211" s="50">
        <f t="shared" si="24"/>
        <v>56</v>
      </c>
      <c r="H211" s="70" t="str">
        <f t="shared" si="25"/>
        <v>Thursday</v>
      </c>
      <c r="I211" s="19" t="str">
        <f t="shared" si="26"/>
        <v>Week 4</v>
      </c>
    </row>
    <row r="212" spans="2:9" ht="26.25" customHeight="1">
      <c r="B212" s="52">
        <v>46262</v>
      </c>
      <c r="C212" s="70" t="s">
        <v>75</v>
      </c>
      <c r="D212" s="31">
        <v>5</v>
      </c>
      <c r="E212" s="34">
        <v>185</v>
      </c>
      <c r="F212" s="34">
        <v>164</v>
      </c>
      <c r="G212" s="50">
        <f t="shared" si="24"/>
        <v>105</v>
      </c>
      <c r="H212" s="70" t="str">
        <f t="shared" si="25"/>
        <v>Friday</v>
      </c>
      <c r="I212" s="19" t="str">
        <f t="shared" si="26"/>
        <v>Week 4</v>
      </c>
    </row>
    <row r="213" spans="2:9" ht="26.25" customHeight="1">
      <c r="B213" s="52">
        <v>46262</v>
      </c>
      <c r="C213" s="70" t="s">
        <v>76</v>
      </c>
      <c r="D213" s="31">
        <v>12</v>
      </c>
      <c r="E213" s="34">
        <v>15</v>
      </c>
      <c r="F213" s="34">
        <v>12.5</v>
      </c>
      <c r="G213" s="50">
        <f t="shared" si="24"/>
        <v>30</v>
      </c>
      <c r="H213" s="70" t="str">
        <f t="shared" si="25"/>
        <v>Friday</v>
      </c>
      <c r="I213" s="19" t="str">
        <f t="shared" si="26"/>
        <v>Week 4</v>
      </c>
    </row>
    <row r="214" spans="2:9" ht="26.25" customHeight="1">
      <c r="B214" s="52">
        <v>46262</v>
      </c>
      <c r="C214" s="70" t="s">
        <v>132</v>
      </c>
      <c r="D214" s="31">
        <v>1</v>
      </c>
      <c r="E214" s="34">
        <v>530</v>
      </c>
      <c r="F214" s="34">
        <v>466</v>
      </c>
      <c r="G214" s="50">
        <f t="shared" si="24"/>
        <v>64</v>
      </c>
      <c r="H214" s="70" t="str">
        <f t="shared" si="25"/>
        <v>Friday</v>
      </c>
      <c r="I214" s="19" t="str">
        <f t="shared" si="26"/>
        <v>Week 4</v>
      </c>
    </row>
    <row r="215" spans="2:9" ht="26.25" customHeight="1">
      <c r="B215" s="52">
        <v>46262</v>
      </c>
      <c r="C215" s="70" t="s">
        <v>133</v>
      </c>
      <c r="D215" s="31">
        <v>1</v>
      </c>
      <c r="E215" s="34">
        <v>125</v>
      </c>
      <c r="F215" s="34">
        <v>99</v>
      </c>
      <c r="G215" s="50">
        <f t="shared" si="24"/>
        <v>26</v>
      </c>
      <c r="H215" s="70" t="str">
        <f t="shared" si="25"/>
        <v>Friday</v>
      </c>
      <c r="I215" s="19" t="str">
        <f t="shared" si="26"/>
        <v>Week 4</v>
      </c>
    </row>
    <row r="216" spans="2:9" ht="26.25" customHeight="1">
      <c r="B216" s="52">
        <v>46262</v>
      </c>
      <c r="C216" s="70" t="s">
        <v>99</v>
      </c>
      <c r="D216" s="31">
        <v>1</v>
      </c>
      <c r="E216" s="34">
        <v>110</v>
      </c>
      <c r="F216" s="34">
        <v>88</v>
      </c>
      <c r="G216" s="50">
        <f t="shared" si="24"/>
        <v>22</v>
      </c>
      <c r="H216" s="70" t="str">
        <f t="shared" si="25"/>
        <v>Friday</v>
      </c>
      <c r="I216" s="19" t="str">
        <f t="shared" si="26"/>
        <v>Week 4</v>
      </c>
    </row>
    <row r="217" spans="2:9" ht="26.25" customHeight="1">
      <c r="B217" s="52">
        <v>46262</v>
      </c>
      <c r="C217" s="70" t="s">
        <v>40</v>
      </c>
      <c r="D217" s="31">
        <v>2</v>
      </c>
      <c r="E217" s="34">
        <v>325</v>
      </c>
      <c r="F217" s="34">
        <v>297</v>
      </c>
      <c r="G217" s="50">
        <f t="shared" si="24"/>
        <v>56</v>
      </c>
      <c r="H217" s="70" t="str">
        <f t="shared" si="25"/>
        <v>Friday</v>
      </c>
      <c r="I217" s="19" t="str">
        <f t="shared" si="26"/>
        <v>Week 4</v>
      </c>
    </row>
    <row r="218" spans="2:9" ht="26.25" customHeight="1">
      <c r="B218" s="52">
        <v>46262</v>
      </c>
      <c r="C218" s="70" t="s">
        <v>92</v>
      </c>
      <c r="D218" s="31">
        <v>2</v>
      </c>
      <c r="E218" s="34">
        <v>170</v>
      </c>
      <c r="F218" s="34">
        <v>145</v>
      </c>
      <c r="G218" s="50">
        <f t="shared" si="24"/>
        <v>50</v>
      </c>
      <c r="H218" s="70" t="str">
        <f t="shared" si="25"/>
        <v>Friday</v>
      </c>
      <c r="I218" s="19" t="str">
        <f t="shared" si="26"/>
        <v>Week 4</v>
      </c>
    </row>
    <row r="219" spans="2:9" ht="26.25" customHeight="1">
      <c r="B219" s="52">
        <v>46262</v>
      </c>
      <c r="C219" s="70" t="s">
        <v>93</v>
      </c>
      <c r="D219" s="31">
        <v>2</v>
      </c>
      <c r="E219" s="34">
        <v>60</v>
      </c>
      <c r="F219" s="34">
        <v>51</v>
      </c>
      <c r="G219" s="50">
        <f t="shared" si="24"/>
        <v>18</v>
      </c>
      <c r="H219" s="70" t="str">
        <f t="shared" si="25"/>
        <v>Friday</v>
      </c>
      <c r="I219" s="19" t="str">
        <f t="shared" si="26"/>
        <v>Week 4</v>
      </c>
    </row>
    <row r="220" spans="2:9" ht="26.25" customHeight="1">
      <c r="B220" s="52">
        <v>46262</v>
      </c>
      <c r="C220" s="70" t="s">
        <v>94</v>
      </c>
      <c r="D220" s="31">
        <v>2</v>
      </c>
      <c r="E220" s="34">
        <v>30</v>
      </c>
      <c r="F220" s="34">
        <v>23</v>
      </c>
      <c r="G220" s="50">
        <f t="shared" si="24"/>
        <v>14</v>
      </c>
      <c r="H220" s="70" t="str">
        <f t="shared" si="25"/>
        <v>Friday</v>
      </c>
      <c r="I220" s="19" t="str">
        <f t="shared" si="26"/>
        <v>Week 4</v>
      </c>
    </row>
    <row r="221" spans="2:9" ht="26.25" customHeight="1">
      <c r="B221" s="52">
        <v>46262</v>
      </c>
      <c r="C221" s="70" t="s">
        <v>126</v>
      </c>
      <c r="D221" s="31">
        <v>1</v>
      </c>
      <c r="E221" s="34">
        <v>60</v>
      </c>
      <c r="F221" s="34">
        <v>51</v>
      </c>
      <c r="G221" s="50">
        <f t="shared" si="24"/>
        <v>9</v>
      </c>
      <c r="H221" s="70" t="str">
        <f t="shared" si="25"/>
        <v>Friday</v>
      </c>
      <c r="I221" s="19" t="str">
        <f t="shared" si="26"/>
        <v>Week 4</v>
      </c>
    </row>
    <row r="222" spans="2:9" ht="26.25" customHeight="1">
      <c r="B222" s="52">
        <v>46263</v>
      </c>
      <c r="C222" s="70" t="s">
        <v>24</v>
      </c>
      <c r="D222" s="31">
        <v>15</v>
      </c>
      <c r="E222" s="34">
        <v>270</v>
      </c>
      <c r="F222" s="34">
        <v>253</v>
      </c>
      <c r="G222" s="50">
        <f t="shared" si="24"/>
        <v>255</v>
      </c>
      <c r="H222" s="70" t="str">
        <f t="shared" si="25"/>
        <v>Saturday</v>
      </c>
      <c r="I222" s="19" t="str">
        <f t="shared" si="26"/>
        <v>Week 4</v>
      </c>
    </row>
    <row r="223" spans="2:9" ht="26.25" customHeight="1">
      <c r="B223" s="52">
        <v>46263</v>
      </c>
      <c r="C223" s="70" t="s">
        <v>53</v>
      </c>
      <c r="D223" s="31">
        <v>15</v>
      </c>
      <c r="E223" s="34">
        <v>22</v>
      </c>
      <c r="F223" s="34">
        <v>19.5</v>
      </c>
      <c r="G223" s="50">
        <f t="shared" si="24"/>
        <v>37.5</v>
      </c>
      <c r="H223" s="70" t="str">
        <f t="shared" si="25"/>
        <v>Saturday</v>
      </c>
      <c r="I223" s="19" t="str">
        <f t="shared" si="26"/>
        <v>Week 4</v>
      </c>
    </row>
    <row r="224" spans="2:9" ht="26.25" customHeight="1">
      <c r="B224" s="52">
        <v>46263</v>
      </c>
      <c r="C224" s="70" t="s">
        <v>52</v>
      </c>
      <c r="D224" s="31">
        <v>32</v>
      </c>
      <c r="E224" s="34">
        <v>30</v>
      </c>
      <c r="F224" s="34">
        <v>26</v>
      </c>
      <c r="G224" s="50">
        <f t="shared" si="24"/>
        <v>128</v>
      </c>
      <c r="H224" s="70" t="str">
        <f t="shared" si="25"/>
        <v>Saturday</v>
      </c>
      <c r="I224" s="19" t="str">
        <f t="shared" si="26"/>
        <v>Week 4</v>
      </c>
    </row>
    <row r="225" spans="2:9" ht="26.25" customHeight="1">
      <c r="B225" s="52">
        <v>46263</v>
      </c>
      <c r="C225" s="70" t="s">
        <v>134</v>
      </c>
      <c r="D225" s="31">
        <v>2</v>
      </c>
      <c r="E225" s="34">
        <v>45</v>
      </c>
      <c r="F225" s="34">
        <v>38</v>
      </c>
      <c r="G225" s="50">
        <f t="shared" si="24"/>
        <v>14</v>
      </c>
      <c r="H225" s="70" t="str">
        <f t="shared" si="25"/>
        <v>Saturday</v>
      </c>
      <c r="I225" s="19" t="str">
        <f t="shared" si="26"/>
        <v>Week 4</v>
      </c>
    </row>
    <row r="226" spans="2:9" ht="26.25" customHeight="1">
      <c r="B226" s="52">
        <v>46263</v>
      </c>
      <c r="C226" s="70" t="s">
        <v>135</v>
      </c>
      <c r="D226" s="31">
        <v>2</v>
      </c>
      <c r="E226" s="34">
        <v>40</v>
      </c>
      <c r="F226" s="34">
        <v>36</v>
      </c>
      <c r="G226" s="50">
        <f t="shared" si="24"/>
        <v>8</v>
      </c>
      <c r="H226" s="70" t="str">
        <f t="shared" si="25"/>
        <v>Saturday</v>
      </c>
      <c r="I226" s="19" t="str">
        <f t="shared" si="26"/>
        <v>Week 4</v>
      </c>
    </row>
    <row r="227" spans="2:9" ht="26.25" customHeight="1">
      <c r="B227" s="52">
        <v>46263</v>
      </c>
      <c r="C227" s="70" t="s">
        <v>136</v>
      </c>
      <c r="D227" s="31">
        <v>2</v>
      </c>
      <c r="E227" s="34">
        <v>36</v>
      </c>
      <c r="F227" s="34">
        <v>29</v>
      </c>
      <c r="G227" s="50">
        <f t="shared" si="24"/>
        <v>14</v>
      </c>
      <c r="H227" s="70" t="str">
        <f t="shared" si="25"/>
        <v>Saturday</v>
      </c>
      <c r="I227" s="19" t="str">
        <f t="shared" si="26"/>
        <v>Week 4</v>
      </c>
    </row>
    <row r="228" spans="2:9" ht="26.25" customHeight="1">
      <c r="B228" s="52">
        <v>46263</v>
      </c>
      <c r="C228" s="70" t="s">
        <v>137</v>
      </c>
      <c r="D228" s="31">
        <v>6</v>
      </c>
      <c r="E228" s="34">
        <v>120</v>
      </c>
      <c r="F228" s="34">
        <v>89</v>
      </c>
      <c r="G228" s="50">
        <f t="shared" si="24"/>
        <v>186</v>
      </c>
      <c r="H228" s="70" t="str">
        <f t="shared" si="25"/>
        <v>Saturday</v>
      </c>
      <c r="I228" s="19" t="str">
        <f t="shared" si="26"/>
        <v>Week 4</v>
      </c>
    </row>
    <row r="229" spans="2:9" ht="26.25" customHeight="1">
      <c r="B229" s="52">
        <v>46263</v>
      </c>
      <c r="C229" s="70" t="s">
        <v>138</v>
      </c>
      <c r="D229" s="31">
        <v>4</v>
      </c>
      <c r="E229" s="34">
        <v>135</v>
      </c>
      <c r="F229" s="34">
        <v>110</v>
      </c>
      <c r="G229" s="50">
        <f t="shared" si="24"/>
        <v>100</v>
      </c>
      <c r="H229" s="70" t="str">
        <f t="shared" si="25"/>
        <v>Saturday</v>
      </c>
      <c r="I229" s="19" t="str">
        <f t="shared" si="26"/>
        <v>Week 4</v>
      </c>
    </row>
    <row r="230" spans="2:9" ht="26.25" customHeight="1">
      <c r="B230" s="52">
        <v>46263</v>
      </c>
      <c r="C230" s="70" t="s">
        <v>99</v>
      </c>
      <c r="D230" s="31">
        <v>4</v>
      </c>
      <c r="E230" s="34">
        <v>110</v>
      </c>
      <c r="F230" s="34">
        <v>89</v>
      </c>
      <c r="G230" s="50">
        <f t="shared" si="24"/>
        <v>84</v>
      </c>
      <c r="H230" s="70" t="str">
        <f t="shared" si="25"/>
        <v>Saturday</v>
      </c>
      <c r="I230" s="19" t="str">
        <f t="shared" si="26"/>
        <v>Week 4</v>
      </c>
    </row>
    <row r="231" spans="2:9" ht="26.25" customHeight="1">
      <c r="B231" s="52">
        <v>46263</v>
      </c>
      <c r="C231" s="70" t="s">
        <v>84</v>
      </c>
      <c r="D231" s="31">
        <v>20</v>
      </c>
      <c r="E231" s="34">
        <v>10</v>
      </c>
      <c r="F231" s="34">
        <v>4.5</v>
      </c>
      <c r="G231" s="50">
        <f t="shared" si="24"/>
        <v>110</v>
      </c>
      <c r="H231" s="70" t="str">
        <f t="shared" si="25"/>
        <v>Saturday</v>
      </c>
      <c r="I231" s="19" t="str">
        <f t="shared" si="26"/>
        <v>Week 4</v>
      </c>
    </row>
    <row r="232" spans="2:9" ht="26.25" customHeight="1">
      <c r="B232" s="52">
        <v>46264</v>
      </c>
      <c r="C232" s="70" t="s">
        <v>33</v>
      </c>
      <c r="D232" s="31">
        <v>3</v>
      </c>
      <c r="E232" s="34">
        <v>570</v>
      </c>
      <c r="F232" s="34">
        <v>523</v>
      </c>
      <c r="G232" s="50">
        <f t="shared" si="24"/>
        <v>141</v>
      </c>
      <c r="H232" s="70" t="str">
        <f t="shared" si="25"/>
        <v>Sunday</v>
      </c>
      <c r="I232" s="19" t="str">
        <f t="shared" si="26"/>
        <v>Week 4</v>
      </c>
    </row>
    <row r="233" spans="2:9" ht="26.25" customHeight="1">
      <c r="B233" s="52">
        <v>46264</v>
      </c>
      <c r="C233" s="70" t="s">
        <v>35</v>
      </c>
      <c r="D233" s="31">
        <v>6</v>
      </c>
      <c r="E233" s="34">
        <v>110</v>
      </c>
      <c r="F233" s="34">
        <v>89</v>
      </c>
      <c r="G233" s="50">
        <f t="shared" si="24"/>
        <v>126</v>
      </c>
      <c r="H233" s="70" t="str">
        <f t="shared" si="25"/>
        <v>Sunday</v>
      </c>
      <c r="I233" s="19" t="str">
        <f t="shared" si="26"/>
        <v>Week 4</v>
      </c>
    </row>
    <row r="234" spans="2:9" ht="26.25" customHeight="1">
      <c r="B234" s="52">
        <v>46264</v>
      </c>
      <c r="C234" s="70" t="s">
        <v>36</v>
      </c>
      <c r="D234" s="31">
        <v>3</v>
      </c>
      <c r="E234" s="34">
        <v>190</v>
      </c>
      <c r="F234" s="34">
        <v>164</v>
      </c>
      <c r="G234" s="50">
        <f t="shared" si="24"/>
        <v>78</v>
      </c>
      <c r="H234" s="70" t="str">
        <f t="shared" si="25"/>
        <v>Sunday</v>
      </c>
      <c r="I234" s="19" t="str">
        <f t="shared" si="26"/>
        <v>Week 4</v>
      </c>
    </row>
    <row r="235" spans="2:9" ht="26.25" customHeight="1">
      <c r="B235" s="52">
        <v>46264</v>
      </c>
      <c r="C235" s="70" t="s">
        <v>37</v>
      </c>
      <c r="D235" s="31">
        <v>1</v>
      </c>
      <c r="E235" s="34">
        <v>110</v>
      </c>
      <c r="F235" s="34">
        <v>98</v>
      </c>
      <c r="G235" s="50">
        <f t="shared" si="24"/>
        <v>12</v>
      </c>
      <c r="H235" s="70" t="str">
        <f t="shared" si="25"/>
        <v>Sunday</v>
      </c>
      <c r="I235" s="19" t="str">
        <f t="shared" si="26"/>
        <v>Week 4</v>
      </c>
    </row>
    <row r="236" spans="2:9" ht="26.25" customHeight="1">
      <c r="B236" s="52">
        <v>46264</v>
      </c>
      <c r="C236" s="70" t="s">
        <v>29</v>
      </c>
      <c r="D236" s="31">
        <v>8</v>
      </c>
      <c r="E236" s="34">
        <v>10</v>
      </c>
      <c r="F236" s="34">
        <v>9.1999999999999993</v>
      </c>
      <c r="G236" s="50">
        <f t="shared" si="24"/>
        <v>6.4000000000000057</v>
      </c>
      <c r="H236" s="70" t="str">
        <f t="shared" si="25"/>
        <v>Sunday</v>
      </c>
      <c r="I236" s="19" t="str">
        <f t="shared" si="26"/>
        <v>Week 4</v>
      </c>
    </row>
    <row r="237" spans="2:9" ht="26.25" customHeight="1">
      <c r="B237" s="52">
        <v>46264</v>
      </c>
      <c r="C237" s="70" t="s">
        <v>139</v>
      </c>
      <c r="D237" s="31">
        <v>1</v>
      </c>
      <c r="E237" s="34">
        <v>580</v>
      </c>
      <c r="F237" s="34">
        <v>442</v>
      </c>
      <c r="G237" s="50">
        <f t="shared" si="24"/>
        <v>138</v>
      </c>
      <c r="H237" s="70" t="str">
        <f t="shared" si="25"/>
        <v>Sunday</v>
      </c>
      <c r="I237" s="19" t="str">
        <f t="shared" si="26"/>
        <v>Week 4</v>
      </c>
    </row>
    <row r="238" spans="2:9" ht="26.25" customHeight="1">
      <c r="B238" s="52">
        <v>46264</v>
      </c>
      <c r="C238" s="70" t="s">
        <v>49</v>
      </c>
      <c r="D238" s="31">
        <v>1</v>
      </c>
      <c r="E238" s="34">
        <v>60</v>
      </c>
      <c r="F238" s="34">
        <v>47</v>
      </c>
      <c r="G238" s="50">
        <f t="shared" ref="G238:G269" si="27">(E238-F238)*D238</f>
        <v>13</v>
      </c>
      <c r="H238" s="70" t="str">
        <f t="shared" ref="H238:H252" si="28">TEXT(B238,"dddd")</f>
        <v>Sunday</v>
      </c>
      <c r="I238" s="19" t="str">
        <f t="shared" ref="I238:I252" si="29">"Week " &amp; (INT((B238 - DATE(2026,8,3)) / 7) + 1)</f>
        <v>Week 4</v>
      </c>
    </row>
    <row r="239" spans="2:9" ht="26.25" customHeight="1">
      <c r="B239" s="52">
        <v>46264</v>
      </c>
      <c r="C239" s="70" t="s">
        <v>140</v>
      </c>
      <c r="D239" s="31">
        <v>1</v>
      </c>
      <c r="E239" s="34">
        <v>110</v>
      </c>
      <c r="F239" s="34">
        <v>88</v>
      </c>
      <c r="G239" s="50">
        <f t="shared" si="27"/>
        <v>22</v>
      </c>
      <c r="H239" s="70" t="str">
        <f t="shared" si="28"/>
        <v>Sunday</v>
      </c>
      <c r="I239" s="19" t="str">
        <f t="shared" si="29"/>
        <v>Week 4</v>
      </c>
    </row>
    <row r="240" spans="2:9" ht="26.25" customHeight="1">
      <c r="B240" s="52">
        <v>46264</v>
      </c>
      <c r="C240" s="70" t="s">
        <v>111</v>
      </c>
      <c r="D240" s="31">
        <v>1</v>
      </c>
      <c r="E240" s="34">
        <v>80</v>
      </c>
      <c r="F240" s="34">
        <v>71</v>
      </c>
      <c r="G240" s="50">
        <f t="shared" si="27"/>
        <v>9</v>
      </c>
      <c r="H240" s="70" t="str">
        <f t="shared" si="28"/>
        <v>Sunday</v>
      </c>
      <c r="I240" s="19" t="str">
        <f t="shared" si="29"/>
        <v>Week 4</v>
      </c>
    </row>
    <row r="241" spans="2:9" ht="26.25" customHeight="1">
      <c r="B241" s="52">
        <v>46264</v>
      </c>
      <c r="C241" s="70" t="s">
        <v>141</v>
      </c>
      <c r="D241" s="31">
        <v>2</v>
      </c>
      <c r="E241" s="34">
        <v>120</v>
      </c>
      <c r="F241" s="34">
        <v>84</v>
      </c>
      <c r="G241" s="50">
        <f t="shared" si="27"/>
        <v>72</v>
      </c>
      <c r="H241" s="70" t="str">
        <f t="shared" si="28"/>
        <v>Sunday</v>
      </c>
      <c r="I241" s="19" t="str">
        <f t="shared" si="29"/>
        <v>Week 4</v>
      </c>
    </row>
    <row r="242" spans="2:9" ht="26.25" customHeight="1">
      <c r="B242" s="52">
        <v>46264</v>
      </c>
      <c r="C242" s="70" t="s">
        <v>142</v>
      </c>
      <c r="D242" s="31">
        <v>1</v>
      </c>
      <c r="E242" s="34">
        <v>220</v>
      </c>
      <c r="F242" s="34">
        <v>180</v>
      </c>
      <c r="G242" s="50">
        <f t="shared" si="27"/>
        <v>40</v>
      </c>
      <c r="H242" s="70" t="str">
        <f t="shared" si="28"/>
        <v>Sunday</v>
      </c>
      <c r="I242" s="19" t="str">
        <f t="shared" si="29"/>
        <v>Week 4</v>
      </c>
    </row>
    <row r="243" spans="2:9" ht="26.25" customHeight="1">
      <c r="B243" s="52">
        <v>46264</v>
      </c>
      <c r="C243" s="70" t="s">
        <v>51</v>
      </c>
      <c r="D243" s="31">
        <v>2</v>
      </c>
      <c r="E243" s="34">
        <v>45</v>
      </c>
      <c r="F243" s="34">
        <v>38</v>
      </c>
      <c r="G243" s="50">
        <f t="shared" si="27"/>
        <v>14</v>
      </c>
      <c r="H243" s="70" t="str">
        <f t="shared" si="28"/>
        <v>Sunday</v>
      </c>
      <c r="I243" s="19" t="str">
        <f t="shared" si="29"/>
        <v>Week 4</v>
      </c>
    </row>
    <row r="244" spans="2:9" ht="26.25" customHeight="1">
      <c r="B244" s="52">
        <v>46265</v>
      </c>
      <c r="C244" s="70" t="s">
        <v>108</v>
      </c>
      <c r="D244" s="31">
        <v>1</v>
      </c>
      <c r="E244" s="34">
        <v>8300</v>
      </c>
      <c r="F244" s="34">
        <v>8020</v>
      </c>
      <c r="G244" s="50">
        <f t="shared" si="27"/>
        <v>280</v>
      </c>
      <c r="H244" s="70" t="str">
        <f t="shared" si="28"/>
        <v>Monday</v>
      </c>
      <c r="I244" s="19" t="str">
        <f t="shared" si="29"/>
        <v>Week 5</v>
      </c>
    </row>
    <row r="245" spans="2:9" ht="26.25" customHeight="1">
      <c r="B245" s="52">
        <v>46265</v>
      </c>
      <c r="C245" s="70" t="s">
        <v>25</v>
      </c>
      <c r="D245" s="31">
        <v>1</v>
      </c>
      <c r="E245" s="34">
        <v>1300</v>
      </c>
      <c r="F245" s="34">
        <v>1180</v>
      </c>
      <c r="G245" s="50">
        <f t="shared" si="27"/>
        <v>120</v>
      </c>
      <c r="H245" s="70" t="str">
        <f t="shared" si="28"/>
        <v>Monday</v>
      </c>
      <c r="I245" s="19" t="str">
        <f t="shared" si="29"/>
        <v>Week 5</v>
      </c>
    </row>
    <row r="246" spans="2:9" ht="26.25" customHeight="1">
      <c r="B246" s="52">
        <v>46265</v>
      </c>
      <c r="C246" s="70" t="s">
        <v>103</v>
      </c>
      <c r="D246" s="31">
        <v>2</v>
      </c>
      <c r="E246" s="34">
        <v>15</v>
      </c>
      <c r="F246" s="34">
        <v>12</v>
      </c>
      <c r="G246" s="50">
        <f t="shared" si="27"/>
        <v>6</v>
      </c>
      <c r="H246" s="70" t="str">
        <f t="shared" si="28"/>
        <v>Monday</v>
      </c>
      <c r="I246" s="19" t="str">
        <f t="shared" si="29"/>
        <v>Week 5</v>
      </c>
    </row>
    <row r="247" spans="2:9" ht="26.25" customHeight="1">
      <c r="B247" s="52">
        <v>46265</v>
      </c>
      <c r="C247" s="70" t="s">
        <v>128</v>
      </c>
      <c r="D247" s="31">
        <v>6</v>
      </c>
      <c r="E247" s="34">
        <v>10</v>
      </c>
      <c r="F247" s="34">
        <v>9</v>
      </c>
      <c r="G247" s="50">
        <f t="shared" si="27"/>
        <v>6</v>
      </c>
      <c r="H247" s="70" t="str">
        <f t="shared" si="28"/>
        <v>Monday</v>
      </c>
      <c r="I247" s="19" t="str">
        <f t="shared" si="29"/>
        <v>Week 5</v>
      </c>
    </row>
    <row r="248" spans="2:9" ht="26.25" customHeight="1">
      <c r="B248" s="52">
        <v>46265</v>
      </c>
      <c r="C248" s="70" t="s">
        <v>75</v>
      </c>
      <c r="D248" s="31">
        <v>22</v>
      </c>
      <c r="E248" s="34">
        <v>185</v>
      </c>
      <c r="F248" s="34">
        <v>164</v>
      </c>
      <c r="G248" s="50">
        <f t="shared" si="27"/>
        <v>462</v>
      </c>
      <c r="H248" s="70" t="str">
        <f t="shared" si="28"/>
        <v>Monday</v>
      </c>
      <c r="I248" s="19" t="str">
        <f t="shared" si="29"/>
        <v>Week 5</v>
      </c>
    </row>
    <row r="249" spans="2:9" ht="26.25" customHeight="1">
      <c r="B249" s="52">
        <v>46265</v>
      </c>
      <c r="C249" s="70" t="s">
        <v>76</v>
      </c>
      <c r="D249" s="31">
        <v>12</v>
      </c>
      <c r="E249" s="34">
        <v>15</v>
      </c>
      <c r="F249" s="34">
        <v>12.5</v>
      </c>
      <c r="G249" s="50">
        <f t="shared" si="27"/>
        <v>30</v>
      </c>
      <c r="H249" s="70" t="str">
        <f t="shared" si="28"/>
        <v>Monday</v>
      </c>
      <c r="I249" s="19" t="str">
        <f t="shared" si="29"/>
        <v>Week 5</v>
      </c>
    </row>
    <row r="250" spans="2:9" ht="26.25" customHeight="1">
      <c r="B250" s="52">
        <v>46265</v>
      </c>
      <c r="C250" s="70" t="s">
        <v>132</v>
      </c>
      <c r="D250" s="31">
        <v>1</v>
      </c>
      <c r="E250" s="34">
        <v>530</v>
      </c>
      <c r="F250" s="34">
        <v>466</v>
      </c>
      <c r="G250" s="50">
        <f t="shared" si="27"/>
        <v>64</v>
      </c>
      <c r="H250" s="70" t="str">
        <f t="shared" si="28"/>
        <v>Monday</v>
      </c>
      <c r="I250" s="19" t="str">
        <f t="shared" si="29"/>
        <v>Week 5</v>
      </c>
    </row>
    <row r="251" spans="2:9" ht="26.25" customHeight="1">
      <c r="B251" s="52">
        <v>46265</v>
      </c>
      <c r="C251" s="70" t="s">
        <v>133</v>
      </c>
      <c r="D251" s="31">
        <v>2</v>
      </c>
      <c r="E251" s="34">
        <v>125</v>
      </c>
      <c r="F251" s="34">
        <v>99</v>
      </c>
      <c r="G251" s="50">
        <f t="shared" si="27"/>
        <v>52</v>
      </c>
      <c r="H251" s="70" t="str">
        <f t="shared" si="28"/>
        <v>Monday</v>
      </c>
      <c r="I251" s="19" t="str">
        <f t="shared" si="29"/>
        <v>Week 5</v>
      </c>
    </row>
    <row r="252" spans="2:9" ht="26.25" customHeight="1">
      <c r="B252" s="52">
        <v>46265</v>
      </c>
      <c r="C252" s="70" t="s">
        <v>99</v>
      </c>
      <c r="D252" s="31">
        <v>2</v>
      </c>
      <c r="E252" s="34">
        <v>110</v>
      </c>
      <c r="F252" s="34">
        <v>88</v>
      </c>
      <c r="G252" s="50">
        <f t="shared" si="27"/>
        <v>44</v>
      </c>
      <c r="H252" s="70" t="str">
        <f t="shared" si="28"/>
        <v>Monday</v>
      </c>
      <c r="I252" s="18" t="str">
        <f t="shared" si="29"/>
        <v>Week 5</v>
      </c>
    </row>
    <row r="253" spans="2:9" ht="26.25" customHeight="1">
      <c r="B253" s="52">
        <v>46266</v>
      </c>
      <c r="C253" s="7" t="s">
        <v>33</v>
      </c>
      <c r="D253" s="31">
        <v>4</v>
      </c>
      <c r="E253" s="12">
        <v>570</v>
      </c>
      <c r="F253" s="12">
        <v>521</v>
      </c>
      <c r="G253" s="12">
        <f t="shared" ref="G253:G284" si="30">(E253-F253)*D253</f>
        <v>196</v>
      </c>
      <c r="H253" s="10" t="str">
        <f t="shared" ref="H253:H284" si="31">TEXT(B253,"dddd")</f>
        <v>Tuesday</v>
      </c>
      <c r="I253" s="19" t="str">
        <f t="shared" ref="I253:I284" si="32">"Week " &amp; (INT((B253 - DATE(2026,8,3)) / 7) + 1)</f>
        <v>Week 5</v>
      </c>
    </row>
    <row r="254" spans="2:9" ht="26.25" customHeight="1">
      <c r="B254" s="52">
        <v>46266</v>
      </c>
      <c r="C254" s="70" t="s">
        <v>35</v>
      </c>
      <c r="D254" s="31">
        <v>8</v>
      </c>
      <c r="E254" s="35">
        <v>110</v>
      </c>
      <c r="F254" s="35">
        <v>89</v>
      </c>
      <c r="G254" s="35">
        <f t="shared" si="30"/>
        <v>168</v>
      </c>
      <c r="H254" s="5" t="str">
        <f t="shared" si="31"/>
        <v>Tuesday</v>
      </c>
      <c r="I254" s="19" t="str">
        <f t="shared" si="32"/>
        <v>Week 5</v>
      </c>
    </row>
    <row r="255" spans="2:9" ht="26.25" customHeight="1">
      <c r="B255" s="52">
        <v>46266</v>
      </c>
      <c r="C255" s="70" t="s">
        <v>36</v>
      </c>
      <c r="D255" s="31">
        <v>1</v>
      </c>
      <c r="E255" s="35">
        <v>190</v>
      </c>
      <c r="F255" s="35">
        <v>164</v>
      </c>
      <c r="G255" s="35">
        <f t="shared" si="30"/>
        <v>26</v>
      </c>
      <c r="H255" s="5" t="str">
        <f t="shared" si="31"/>
        <v>Tuesday</v>
      </c>
      <c r="I255" s="19" t="str">
        <f t="shared" si="32"/>
        <v>Week 5</v>
      </c>
    </row>
    <row r="256" spans="2:9" ht="26.25" customHeight="1">
      <c r="B256" s="52">
        <v>46266</v>
      </c>
      <c r="C256" s="70" t="s">
        <v>34</v>
      </c>
      <c r="D256" s="31">
        <v>2</v>
      </c>
      <c r="E256" s="35">
        <v>90</v>
      </c>
      <c r="F256" s="35">
        <v>79</v>
      </c>
      <c r="G256" s="35">
        <f t="shared" si="30"/>
        <v>22</v>
      </c>
      <c r="H256" s="5" t="str">
        <f t="shared" si="31"/>
        <v>Tuesday</v>
      </c>
      <c r="I256" s="19" t="str">
        <f t="shared" si="32"/>
        <v>Week 5</v>
      </c>
    </row>
    <row r="257" spans="2:9" ht="26.25" customHeight="1">
      <c r="B257" s="52">
        <v>46266</v>
      </c>
      <c r="C257" s="70" t="s">
        <v>143</v>
      </c>
      <c r="D257" s="31">
        <v>1</v>
      </c>
      <c r="E257" s="35">
        <v>340</v>
      </c>
      <c r="F257" s="35">
        <v>296</v>
      </c>
      <c r="G257" s="35">
        <f t="shared" si="30"/>
        <v>44</v>
      </c>
      <c r="H257" s="5" t="str">
        <f t="shared" si="31"/>
        <v>Tuesday</v>
      </c>
      <c r="I257" s="19" t="str">
        <f t="shared" si="32"/>
        <v>Week 5</v>
      </c>
    </row>
    <row r="258" spans="2:9" ht="26.25" customHeight="1">
      <c r="B258" s="52">
        <v>46266</v>
      </c>
      <c r="C258" s="70" t="s">
        <v>37</v>
      </c>
      <c r="D258" s="31">
        <v>2</v>
      </c>
      <c r="E258" s="35">
        <v>110</v>
      </c>
      <c r="F258" s="35">
        <v>98</v>
      </c>
      <c r="G258" s="35">
        <f t="shared" si="30"/>
        <v>24</v>
      </c>
      <c r="H258" s="5" t="str">
        <f t="shared" si="31"/>
        <v>Tuesday</v>
      </c>
      <c r="I258" s="19" t="str">
        <f t="shared" si="32"/>
        <v>Week 5</v>
      </c>
    </row>
    <row r="259" spans="2:9" ht="26.25" customHeight="1">
      <c r="B259" s="52">
        <v>46266</v>
      </c>
      <c r="C259" s="70" t="s">
        <v>29</v>
      </c>
      <c r="D259" s="31">
        <v>6</v>
      </c>
      <c r="E259" s="35">
        <v>10</v>
      </c>
      <c r="F259" s="35">
        <v>9.1</v>
      </c>
      <c r="G259" s="35">
        <f t="shared" si="30"/>
        <v>5.4000000000000021</v>
      </c>
      <c r="H259" s="5" t="str">
        <f t="shared" si="31"/>
        <v>Tuesday</v>
      </c>
      <c r="I259" s="19" t="str">
        <f t="shared" si="32"/>
        <v>Week 5</v>
      </c>
    </row>
    <row r="260" spans="2:9" ht="26.25" customHeight="1">
      <c r="B260" s="52">
        <v>46266</v>
      </c>
      <c r="C260" s="70" t="s">
        <v>144</v>
      </c>
      <c r="D260" s="31">
        <v>1</v>
      </c>
      <c r="E260" s="35">
        <v>2200</v>
      </c>
      <c r="F260" s="35">
        <v>1872</v>
      </c>
      <c r="G260" s="35">
        <f t="shared" si="30"/>
        <v>328</v>
      </c>
      <c r="H260" s="5" t="str">
        <f t="shared" si="31"/>
        <v>Tuesday</v>
      </c>
      <c r="I260" s="19" t="str">
        <f t="shared" si="32"/>
        <v>Week 5</v>
      </c>
    </row>
    <row r="261" spans="2:9" ht="26.25" customHeight="1">
      <c r="B261" s="52">
        <v>46267</v>
      </c>
      <c r="C261" s="70" t="s">
        <v>145</v>
      </c>
      <c r="D261" s="31">
        <v>1</v>
      </c>
      <c r="E261" s="35">
        <v>4450</v>
      </c>
      <c r="F261" s="35">
        <v>4095</v>
      </c>
      <c r="G261" s="35">
        <f t="shared" si="30"/>
        <v>355</v>
      </c>
      <c r="H261" s="5" t="str">
        <f t="shared" si="31"/>
        <v>Wednesday</v>
      </c>
      <c r="I261" s="19" t="str">
        <f t="shared" si="32"/>
        <v>Week 5</v>
      </c>
    </row>
    <row r="262" spans="2:9" ht="26.25" customHeight="1">
      <c r="B262" s="52">
        <v>46267</v>
      </c>
      <c r="C262" s="70" t="s">
        <v>78</v>
      </c>
      <c r="D262" s="31">
        <v>2</v>
      </c>
      <c r="E262" s="35">
        <v>250</v>
      </c>
      <c r="F262" s="35">
        <v>210</v>
      </c>
      <c r="G262" s="35">
        <f t="shared" si="30"/>
        <v>80</v>
      </c>
      <c r="H262" s="5" t="str">
        <f t="shared" si="31"/>
        <v>Wednesday</v>
      </c>
      <c r="I262" s="19" t="str">
        <f t="shared" si="32"/>
        <v>Week 5</v>
      </c>
    </row>
    <row r="263" spans="2:9" ht="26.25" customHeight="1">
      <c r="B263" s="52">
        <v>46267</v>
      </c>
      <c r="C263" s="70" t="s">
        <v>146</v>
      </c>
      <c r="D263" s="31">
        <v>6</v>
      </c>
      <c r="E263" s="35">
        <v>120</v>
      </c>
      <c r="F263" s="35">
        <v>91</v>
      </c>
      <c r="G263" s="35">
        <f t="shared" si="30"/>
        <v>174</v>
      </c>
      <c r="H263" s="5" t="str">
        <f t="shared" si="31"/>
        <v>Wednesday</v>
      </c>
      <c r="I263" s="19" t="str">
        <f t="shared" si="32"/>
        <v>Week 5</v>
      </c>
    </row>
    <row r="264" spans="2:9" ht="26.25" customHeight="1">
      <c r="B264" s="52">
        <v>46267</v>
      </c>
      <c r="C264" s="70" t="s">
        <v>147</v>
      </c>
      <c r="D264" s="31">
        <v>6</v>
      </c>
      <c r="E264" s="35">
        <v>90</v>
      </c>
      <c r="F264" s="35">
        <v>72</v>
      </c>
      <c r="G264" s="35">
        <f t="shared" si="30"/>
        <v>108</v>
      </c>
      <c r="H264" s="5" t="str">
        <f t="shared" si="31"/>
        <v>Wednesday</v>
      </c>
      <c r="I264" s="19" t="str">
        <f t="shared" si="32"/>
        <v>Week 5</v>
      </c>
    </row>
    <row r="265" spans="2:9" ht="26.25" customHeight="1">
      <c r="B265" s="52">
        <v>46267</v>
      </c>
      <c r="C265" s="70" t="s">
        <v>148</v>
      </c>
      <c r="D265" s="31">
        <v>10</v>
      </c>
      <c r="E265" s="35">
        <v>20</v>
      </c>
      <c r="F265" s="35">
        <v>14.24</v>
      </c>
      <c r="G265" s="35">
        <f t="shared" si="30"/>
        <v>57.599999999999994</v>
      </c>
      <c r="H265" s="5" t="str">
        <f t="shared" si="31"/>
        <v>Wednesday</v>
      </c>
      <c r="I265" s="19" t="str">
        <f t="shared" si="32"/>
        <v>Week 5</v>
      </c>
    </row>
    <row r="266" spans="2:9" ht="26.25" customHeight="1">
      <c r="B266" s="52">
        <v>46267</v>
      </c>
      <c r="C266" s="70" t="s">
        <v>75</v>
      </c>
      <c r="D266" s="31">
        <v>3</v>
      </c>
      <c r="E266" s="35">
        <v>170</v>
      </c>
      <c r="F266" s="35">
        <v>159</v>
      </c>
      <c r="G266" s="35">
        <f t="shared" si="30"/>
        <v>33</v>
      </c>
      <c r="H266" s="5" t="str">
        <f t="shared" si="31"/>
        <v>Wednesday</v>
      </c>
      <c r="I266" s="19" t="str">
        <f t="shared" si="32"/>
        <v>Week 5</v>
      </c>
    </row>
    <row r="267" spans="2:9" ht="26.25" customHeight="1">
      <c r="B267" s="52">
        <v>46267</v>
      </c>
      <c r="C267" s="70" t="s">
        <v>127</v>
      </c>
      <c r="D267" s="31">
        <v>2</v>
      </c>
      <c r="E267" s="35">
        <v>70</v>
      </c>
      <c r="F267" s="35">
        <v>53</v>
      </c>
      <c r="G267" s="35">
        <f t="shared" si="30"/>
        <v>34</v>
      </c>
      <c r="H267" s="5" t="str">
        <f t="shared" si="31"/>
        <v>Wednesday</v>
      </c>
      <c r="I267" s="19" t="str">
        <f t="shared" si="32"/>
        <v>Week 5</v>
      </c>
    </row>
    <row r="268" spans="2:9" ht="26.25" customHeight="1">
      <c r="B268" s="52">
        <v>46267</v>
      </c>
      <c r="C268" s="70" t="s">
        <v>28</v>
      </c>
      <c r="D268" s="31">
        <v>2</v>
      </c>
      <c r="E268" s="35">
        <v>20</v>
      </c>
      <c r="F268" s="35">
        <v>14</v>
      </c>
      <c r="G268" s="35">
        <f t="shared" si="30"/>
        <v>12</v>
      </c>
      <c r="H268" s="5" t="str">
        <f t="shared" si="31"/>
        <v>Wednesday</v>
      </c>
      <c r="I268" s="19" t="str">
        <f t="shared" si="32"/>
        <v>Week 5</v>
      </c>
    </row>
    <row r="269" spans="2:9" ht="26.25" customHeight="1">
      <c r="B269" s="52">
        <v>46268</v>
      </c>
      <c r="C269" s="70" t="s">
        <v>40</v>
      </c>
      <c r="D269" s="31">
        <v>3</v>
      </c>
      <c r="E269" s="35">
        <v>320</v>
      </c>
      <c r="F269" s="35">
        <v>290</v>
      </c>
      <c r="G269" s="35">
        <f t="shared" si="30"/>
        <v>90</v>
      </c>
      <c r="H269" s="5" t="str">
        <f t="shared" si="31"/>
        <v>Thursday</v>
      </c>
      <c r="I269" s="19" t="str">
        <f t="shared" si="32"/>
        <v>Week 5</v>
      </c>
    </row>
    <row r="270" spans="2:9" ht="26.25" customHeight="1">
      <c r="B270" s="52">
        <v>46268</v>
      </c>
      <c r="C270" s="70" t="s">
        <v>41</v>
      </c>
      <c r="D270" s="31">
        <v>2</v>
      </c>
      <c r="E270" s="35">
        <v>90</v>
      </c>
      <c r="F270" s="35">
        <v>78</v>
      </c>
      <c r="G270" s="35">
        <f t="shared" si="30"/>
        <v>24</v>
      </c>
      <c r="H270" s="5" t="str">
        <f t="shared" si="31"/>
        <v>Thursday</v>
      </c>
      <c r="I270" s="19" t="str">
        <f t="shared" si="32"/>
        <v>Week 5</v>
      </c>
    </row>
    <row r="271" spans="2:9" ht="26.25" customHeight="1">
      <c r="B271" s="52">
        <v>46268</v>
      </c>
      <c r="C271" s="70" t="s">
        <v>94</v>
      </c>
      <c r="D271" s="31">
        <v>2</v>
      </c>
      <c r="E271" s="35">
        <v>30</v>
      </c>
      <c r="F271" s="35">
        <v>19</v>
      </c>
      <c r="G271" s="35">
        <f t="shared" si="30"/>
        <v>22</v>
      </c>
      <c r="H271" s="5" t="str">
        <f t="shared" si="31"/>
        <v>Thursday</v>
      </c>
      <c r="I271" s="19" t="str">
        <f t="shared" si="32"/>
        <v>Week 5</v>
      </c>
    </row>
    <row r="272" spans="2:9" ht="26.25" customHeight="1">
      <c r="B272" s="52">
        <v>46268</v>
      </c>
      <c r="C272" s="70" t="s">
        <v>126</v>
      </c>
      <c r="D272" s="31">
        <v>1</v>
      </c>
      <c r="E272" s="35">
        <v>60</v>
      </c>
      <c r="F272" s="35">
        <v>42</v>
      </c>
      <c r="G272" s="35">
        <f t="shared" si="30"/>
        <v>18</v>
      </c>
      <c r="H272" s="5" t="str">
        <f t="shared" si="31"/>
        <v>Thursday</v>
      </c>
      <c r="I272" s="19" t="str">
        <f t="shared" si="32"/>
        <v>Week 5</v>
      </c>
    </row>
    <row r="273" spans="2:9" ht="26.25" customHeight="1">
      <c r="B273" s="52">
        <v>46268</v>
      </c>
      <c r="C273" s="70" t="s">
        <v>40</v>
      </c>
      <c r="D273" s="31">
        <v>2</v>
      </c>
      <c r="E273" s="35">
        <v>320</v>
      </c>
      <c r="F273" s="35">
        <v>290</v>
      </c>
      <c r="G273" s="35">
        <f t="shared" si="30"/>
        <v>60</v>
      </c>
      <c r="H273" s="5" t="str">
        <f t="shared" si="31"/>
        <v>Thursday</v>
      </c>
      <c r="I273" s="19" t="str">
        <f t="shared" si="32"/>
        <v>Week 5</v>
      </c>
    </row>
    <row r="274" spans="2:9" ht="26.25" customHeight="1">
      <c r="B274" s="52">
        <v>46268</v>
      </c>
      <c r="C274" s="70" t="s">
        <v>149</v>
      </c>
      <c r="D274" s="31">
        <v>3</v>
      </c>
      <c r="E274" s="35">
        <v>60</v>
      </c>
      <c r="F274" s="35">
        <v>51</v>
      </c>
      <c r="G274" s="35">
        <f t="shared" si="30"/>
        <v>27</v>
      </c>
      <c r="H274" s="5" t="str">
        <f t="shared" si="31"/>
        <v>Thursday</v>
      </c>
      <c r="I274" s="19" t="str">
        <f t="shared" si="32"/>
        <v>Week 5</v>
      </c>
    </row>
    <row r="275" spans="2:9" ht="26.25" customHeight="1">
      <c r="B275" s="52">
        <v>46268</v>
      </c>
      <c r="C275" s="70" t="s">
        <v>41</v>
      </c>
      <c r="D275" s="31">
        <v>2</v>
      </c>
      <c r="E275" s="35">
        <v>90</v>
      </c>
      <c r="F275" s="35">
        <v>78</v>
      </c>
      <c r="G275" s="35">
        <f t="shared" si="30"/>
        <v>24</v>
      </c>
      <c r="H275" s="5" t="str">
        <f t="shared" si="31"/>
        <v>Thursday</v>
      </c>
      <c r="I275" s="19" t="str">
        <f t="shared" si="32"/>
        <v>Week 5</v>
      </c>
    </row>
    <row r="276" spans="2:9" ht="26.25" customHeight="1">
      <c r="B276" s="52">
        <v>46268</v>
      </c>
      <c r="C276" s="70" t="s">
        <v>150</v>
      </c>
      <c r="D276" s="31">
        <v>1</v>
      </c>
      <c r="E276" s="35">
        <v>50</v>
      </c>
      <c r="F276" s="35">
        <v>34</v>
      </c>
      <c r="G276" s="35">
        <f t="shared" si="30"/>
        <v>16</v>
      </c>
      <c r="H276" s="5" t="str">
        <f t="shared" si="31"/>
        <v>Thursday</v>
      </c>
      <c r="I276" s="19" t="str">
        <f t="shared" si="32"/>
        <v>Week 5</v>
      </c>
    </row>
    <row r="277" spans="2:9" ht="26.25" customHeight="1">
      <c r="B277" s="52">
        <v>46268</v>
      </c>
      <c r="C277" s="70" t="s">
        <v>126</v>
      </c>
      <c r="D277" s="31">
        <v>1</v>
      </c>
      <c r="E277" s="35">
        <v>60</v>
      </c>
      <c r="F277" s="35">
        <v>42</v>
      </c>
      <c r="G277" s="35">
        <f t="shared" si="30"/>
        <v>18</v>
      </c>
      <c r="H277" s="5" t="str">
        <f t="shared" si="31"/>
        <v>Thursday</v>
      </c>
      <c r="I277" s="19" t="str">
        <f t="shared" si="32"/>
        <v>Week 5</v>
      </c>
    </row>
    <row r="278" spans="2:9" ht="26.25" customHeight="1">
      <c r="B278" s="52">
        <v>46269</v>
      </c>
      <c r="C278" s="70" t="s">
        <v>151</v>
      </c>
      <c r="D278" s="31">
        <v>1</v>
      </c>
      <c r="E278" s="35">
        <v>1100</v>
      </c>
      <c r="F278" s="35">
        <v>930</v>
      </c>
      <c r="G278" s="35">
        <f t="shared" si="30"/>
        <v>170</v>
      </c>
      <c r="H278" s="5" t="str">
        <f t="shared" si="31"/>
        <v>Friday</v>
      </c>
      <c r="I278" s="19" t="str">
        <f t="shared" si="32"/>
        <v>Week 5</v>
      </c>
    </row>
    <row r="279" spans="2:9" ht="26.25" customHeight="1">
      <c r="B279" s="52">
        <v>46269</v>
      </c>
      <c r="C279" s="70" t="s">
        <v>75</v>
      </c>
      <c r="D279" s="31">
        <v>7</v>
      </c>
      <c r="E279" s="35">
        <v>170</v>
      </c>
      <c r="F279" s="35">
        <v>159</v>
      </c>
      <c r="G279" s="35">
        <f t="shared" si="30"/>
        <v>77</v>
      </c>
      <c r="H279" s="5" t="str">
        <f t="shared" si="31"/>
        <v>Friday</v>
      </c>
      <c r="I279" s="19" t="str">
        <f t="shared" si="32"/>
        <v>Week 5</v>
      </c>
    </row>
    <row r="280" spans="2:9" ht="26.25" customHeight="1">
      <c r="B280" s="52">
        <v>46269</v>
      </c>
      <c r="C280" s="70" t="s">
        <v>76</v>
      </c>
      <c r="D280" s="31">
        <v>8</v>
      </c>
      <c r="E280" s="35">
        <v>15</v>
      </c>
      <c r="F280" s="35">
        <v>12.5</v>
      </c>
      <c r="G280" s="35">
        <f t="shared" si="30"/>
        <v>20</v>
      </c>
      <c r="H280" s="5" t="str">
        <f t="shared" si="31"/>
        <v>Friday</v>
      </c>
      <c r="I280" s="19" t="str">
        <f t="shared" si="32"/>
        <v>Week 5</v>
      </c>
    </row>
    <row r="281" spans="2:9" ht="26.25" customHeight="1">
      <c r="B281" s="52">
        <v>46269</v>
      </c>
      <c r="C281" s="70" t="s">
        <v>105</v>
      </c>
      <c r="D281" s="31">
        <v>7</v>
      </c>
      <c r="E281" s="35">
        <v>10</v>
      </c>
      <c r="F281" s="35">
        <v>8.1</v>
      </c>
      <c r="G281" s="35">
        <f t="shared" si="30"/>
        <v>13.300000000000002</v>
      </c>
      <c r="H281" s="5" t="str">
        <f t="shared" si="31"/>
        <v>Friday</v>
      </c>
      <c r="I281" s="19" t="str">
        <f t="shared" si="32"/>
        <v>Week 5</v>
      </c>
    </row>
    <row r="282" spans="2:9" ht="26.25" customHeight="1">
      <c r="B282" s="52">
        <v>46269</v>
      </c>
      <c r="C282" s="70" t="s">
        <v>106</v>
      </c>
      <c r="D282" s="31">
        <v>1</v>
      </c>
      <c r="E282" s="35">
        <v>320</v>
      </c>
      <c r="F282" s="35">
        <v>269</v>
      </c>
      <c r="G282" s="35">
        <f t="shared" si="30"/>
        <v>51</v>
      </c>
      <c r="H282" s="5" t="str">
        <f t="shared" si="31"/>
        <v>Friday</v>
      </c>
      <c r="I282" s="19" t="str">
        <f t="shared" si="32"/>
        <v>Week 5</v>
      </c>
    </row>
    <row r="283" spans="2:9" ht="26.25" customHeight="1">
      <c r="B283" s="52">
        <v>46269</v>
      </c>
      <c r="C283" s="70" t="s">
        <v>152</v>
      </c>
      <c r="D283" s="31">
        <v>1</v>
      </c>
      <c r="E283" s="35">
        <v>50</v>
      </c>
      <c r="F283" s="35">
        <v>38</v>
      </c>
      <c r="G283" s="35">
        <f t="shared" si="30"/>
        <v>12</v>
      </c>
      <c r="H283" s="5" t="str">
        <f t="shared" si="31"/>
        <v>Friday</v>
      </c>
      <c r="I283" s="19" t="str">
        <f t="shared" si="32"/>
        <v>Week 5</v>
      </c>
    </row>
    <row r="284" spans="2:9" ht="26.25" customHeight="1">
      <c r="B284" s="52">
        <v>46269</v>
      </c>
      <c r="C284" s="70" t="s">
        <v>127</v>
      </c>
      <c r="D284" s="31">
        <v>1</v>
      </c>
      <c r="E284" s="35">
        <v>60</v>
      </c>
      <c r="F284" s="35">
        <v>43</v>
      </c>
      <c r="G284" s="35">
        <f t="shared" si="30"/>
        <v>17</v>
      </c>
      <c r="H284" s="5" t="str">
        <f t="shared" si="31"/>
        <v>Friday</v>
      </c>
      <c r="I284" s="19" t="str">
        <f t="shared" si="32"/>
        <v>Week 5</v>
      </c>
    </row>
    <row r="285" spans="2:9" ht="26.25" customHeight="1">
      <c r="B285" s="52">
        <v>46269</v>
      </c>
      <c r="C285" s="70" t="s">
        <v>99</v>
      </c>
      <c r="D285" s="31">
        <v>1</v>
      </c>
      <c r="E285" s="35">
        <v>120</v>
      </c>
      <c r="F285" s="35">
        <v>78</v>
      </c>
      <c r="G285" s="35">
        <f t="shared" ref="G285:G316" si="33">(E285-F285)*D285</f>
        <v>42</v>
      </c>
      <c r="H285" s="5" t="str">
        <f t="shared" ref="H285:H314" si="34">TEXT(B285,"dddd")</f>
        <v>Friday</v>
      </c>
      <c r="I285" s="19" t="str">
        <f t="shared" ref="I285:I314" si="35">"Week " &amp; (INT((B285 - DATE(2026,8,3)) / 7) + 1)</f>
        <v>Week 5</v>
      </c>
    </row>
    <row r="286" spans="2:9" ht="26.25" customHeight="1">
      <c r="B286" s="52">
        <v>46269</v>
      </c>
      <c r="C286" s="70" t="s">
        <v>83</v>
      </c>
      <c r="D286" s="31">
        <v>4</v>
      </c>
      <c r="E286" s="35">
        <v>10</v>
      </c>
      <c r="F286" s="35">
        <v>9.1999999999999993</v>
      </c>
      <c r="G286" s="35">
        <f t="shared" si="33"/>
        <v>3.2000000000000028</v>
      </c>
      <c r="H286" s="5" t="str">
        <f t="shared" si="34"/>
        <v>Friday</v>
      </c>
      <c r="I286" s="19" t="str">
        <f t="shared" si="35"/>
        <v>Week 5</v>
      </c>
    </row>
    <row r="287" spans="2:9" ht="26.25" customHeight="1">
      <c r="B287" s="52">
        <v>46269</v>
      </c>
      <c r="C287" s="70" t="s">
        <v>153</v>
      </c>
      <c r="D287" s="31">
        <v>1</v>
      </c>
      <c r="E287" s="35">
        <v>4900</v>
      </c>
      <c r="F287" s="35">
        <v>4550</v>
      </c>
      <c r="G287" s="35">
        <f t="shared" si="33"/>
        <v>350</v>
      </c>
      <c r="H287" s="5" t="str">
        <f t="shared" si="34"/>
        <v>Friday</v>
      </c>
      <c r="I287" s="19" t="str">
        <f t="shared" si="35"/>
        <v>Week 5</v>
      </c>
    </row>
    <row r="288" spans="2:9" ht="26.25" customHeight="1">
      <c r="B288" s="52">
        <v>46270</v>
      </c>
      <c r="C288" s="70" t="s">
        <v>75</v>
      </c>
      <c r="D288" s="31">
        <v>6</v>
      </c>
      <c r="E288" s="35">
        <v>180</v>
      </c>
      <c r="F288" s="35">
        <v>167</v>
      </c>
      <c r="G288" s="35">
        <f t="shared" si="33"/>
        <v>78</v>
      </c>
      <c r="H288" s="5" t="str">
        <f t="shared" si="34"/>
        <v>Saturday</v>
      </c>
      <c r="I288" s="19" t="str">
        <f t="shared" si="35"/>
        <v>Week 5</v>
      </c>
    </row>
    <row r="289" spans="2:9" ht="26.25" customHeight="1">
      <c r="B289" s="52">
        <v>46270</v>
      </c>
      <c r="C289" s="70" t="s">
        <v>125</v>
      </c>
      <c r="D289" s="31">
        <v>12</v>
      </c>
      <c r="E289" s="35">
        <v>15</v>
      </c>
      <c r="F289" s="35">
        <v>12.5</v>
      </c>
      <c r="G289" s="35">
        <f t="shared" si="33"/>
        <v>30</v>
      </c>
      <c r="H289" s="5" t="str">
        <f t="shared" si="34"/>
        <v>Saturday</v>
      </c>
      <c r="I289" s="19" t="str">
        <f t="shared" si="35"/>
        <v>Week 5</v>
      </c>
    </row>
    <row r="290" spans="2:9" ht="26.25" customHeight="1">
      <c r="B290" s="52">
        <v>46270</v>
      </c>
      <c r="C290" s="70" t="s">
        <v>105</v>
      </c>
      <c r="D290" s="31">
        <v>6</v>
      </c>
      <c r="E290" s="35">
        <v>10</v>
      </c>
      <c r="F290" s="35">
        <v>8.4</v>
      </c>
      <c r="G290" s="35">
        <f t="shared" si="33"/>
        <v>9.5999999999999979</v>
      </c>
      <c r="H290" s="5" t="str">
        <f t="shared" si="34"/>
        <v>Saturday</v>
      </c>
      <c r="I290" s="19" t="str">
        <f t="shared" si="35"/>
        <v>Week 5</v>
      </c>
    </row>
    <row r="291" spans="2:9" ht="26.25" customHeight="1">
      <c r="B291" s="52">
        <v>46270</v>
      </c>
      <c r="C291" s="70" t="s">
        <v>126</v>
      </c>
      <c r="D291" s="31">
        <v>2</v>
      </c>
      <c r="E291" s="35">
        <v>40</v>
      </c>
      <c r="F291" s="35">
        <v>31</v>
      </c>
      <c r="G291" s="35">
        <f t="shared" si="33"/>
        <v>18</v>
      </c>
      <c r="H291" s="5" t="str">
        <f t="shared" si="34"/>
        <v>Saturday</v>
      </c>
      <c r="I291" s="19" t="str">
        <f t="shared" si="35"/>
        <v>Week 5</v>
      </c>
    </row>
    <row r="292" spans="2:9" ht="26.25" customHeight="1">
      <c r="B292" s="52">
        <v>46270</v>
      </c>
      <c r="C292" s="70" t="s">
        <v>40</v>
      </c>
      <c r="D292" s="31">
        <v>4</v>
      </c>
      <c r="E292" s="35">
        <v>325</v>
      </c>
      <c r="F292" s="35">
        <v>297</v>
      </c>
      <c r="G292" s="35">
        <f t="shared" si="33"/>
        <v>112</v>
      </c>
      <c r="H292" s="5" t="str">
        <f t="shared" si="34"/>
        <v>Saturday</v>
      </c>
      <c r="I292" s="19" t="str">
        <f t="shared" si="35"/>
        <v>Week 5</v>
      </c>
    </row>
    <row r="293" spans="2:9" ht="26.25" customHeight="1">
      <c r="B293" s="52">
        <v>46270</v>
      </c>
      <c r="C293" s="70" t="s">
        <v>42</v>
      </c>
      <c r="D293" s="31">
        <v>6</v>
      </c>
      <c r="E293" s="35">
        <v>60</v>
      </c>
      <c r="F293" s="35">
        <v>52</v>
      </c>
      <c r="G293" s="35">
        <f t="shared" si="33"/>
        <v>48</v>
      </c>
      <c r="H293" s="5" t="str">
        <f t="shared" si="34"/>
        <v>Saturday</v>
      </c>
      <c r="I293" s="19" t="str">
        <f t="shared" si="35"/>
        <v>Week 5</v>
      </c>
    </row>
    <row r="294" spans="2:9" ht="26.25" customHeight="1">
      <c r="B294" s="52">
        <v>46270</v>
      </c>
      <c r="C294" s="70" t="s">
        <v>154</v>
      </c>
      <c r="D294" s="31">
        <v>15</v>
      </c>
      <c r="E294" s="35">
        <v>10</v>
      </c>
      <c r="F294" s="35">
        <v>7</v>
      </c>
      <c r="G294" s="35">
        <f t="shared" si="33"/>
        <v>45</v>
      </c>
      <c r="H294" s="5" t="str">
        <f t="shared" si="34"/>
        <v>Saturday</v>
      </c>
      <c r="I294" s="19" t="str">
        <f t="shared" si="35"/>
        <v>Week 5</v>
      </c>
    </row>
    <row r="295" spans="2:9" ht="26.25" customHeight="1">
      <c r="B295" s="52">
        <v>46270</v>
      </c>
      <c r="C295" s="70" t="s">
        <v>54</v>
      </c>
      <c r="D295" s="31">
        <v>2</v>
      </c>
      <c r="E295" s="35">
        <v>60</v>
      </c>
      <c r="F295" s="35">
        <v>42</v>
      </c>
      <c r="G295" s="35">
        <f t="shared" si="33"/>
        <v>36</v>
      </c>
      <c r="H295" s="5" t="str">
        <f t="shared" si="34"/>
        <v>Saturday</v>
      </c>
      <c r="I295" s="19" t="str">
        <f t="shared" si="35"/>
        <v>Week 5</v>
      </c>
    </row>
    <row r="296" spans="2:9" ht="26.25" customHeight="1">
      <c r="B296" s="52">
        <v>46271</v>
      </c>
      <c r="C296" s="70" t="s">
        <v>75</v>
      </c>
      <c r="D296" s="31">
        <v>20</v>
      </c>
      <c r="E296" s="35">
        <v>160</v>
      </c>
      <c r="F296" s="35">
        <v>149.5</v>
      </c>
      <c r="G296" s="35">
        <f t="shared" si="33"/>
        <v>210</v>
      </c>
      <c r="H296" s="5" t="str">
        <f t="shared" si="34"/>
        <v>Sunday</v>
      </c>
      <c r="I296" s="19" t="str">
        <f t="shared" si="35"/>
        <v>Week 5</v>
      </c>
    </row>
    <row r="297" spans="2:9" ht="26.25" customHeight="1">
      <c r="B297" s="52">
        <v>46271</v>
      </c>
      <c r="C297" s="70" t="s">
        <v>105</v>
      </c>
      <c r="D297" s="31">
        <v>30</v>
      </c>
      <c r="E297" s="35">
        <v>10</v>
      </c>
      <c r="F297" s="35">
        <v>8.1</v>
      </c>
      <c r="G297" s="35">
        <f t="shared" si="33"/>
        <v>57.000000000000014</v>
      </c>
      <c r="H297" s="5" t="str">
        <f t="shared" si="34"/>
        <v>Sunday</v>
      </c>
      <c r="I297" s="19" t="str">
        <f t="shared" si="35"/>
        <v>Week 5</v>
      </c>
    </row>
    <row r="298" spans="2:9" ht="26.25" customHeight="1">
      <c r="B298" s="52">
        <v>46271</v>
      </c>
      <c r="C298" s="70" t="s">
        <v>76</v>
      </c>
      <c r="D298" s="31">
        <v>6</v>
      </c>
      <c r="E298" s="35">
        <v>14</v>
      </c>
      <c r="F298" s="35">
        <v>12.5</v>
      </c>
      <c r="G298" s="35">
        <f t="shared" si="33"/>
        <v>9</v>
      </c>
      <c r="H298" s="5" t="str">
        <f t="shared" si="34"/>
        <v>Sunday</v>
      </c>
      <c r="I298" s="19" t="str">
        <f t="shared" si="35"/>
        <v>Week 5</v>
      </c>
    </row>
    <row r="299" spans="2:9" ht="26.25" customHeight="1">
      <c r="B299" s="52">
        <v>46271</v>
      </c>
      <c r="C299" s="70" t="s">
        <v>24</v>
      </c>
      <c r="D299" s="31">
        <v>12</v>
      </c>
      <c r="E299" s="35">
        <v>270</v>
      </c>
      <c r="F299" s="35">
        <v>257</v>
      </c>
      <c r="G299" s="35">
        <f t="shared" si="33"/>
        <v>156</v>
      </c>
      <c r="H299" s="5" t="str">
        <f t="shared" si="34"/>
        <v>Sunday</v>
      </c>
      <c r="I299" s="19" t="str">
        <f t="shared" si="35"/>
        <v>Week 5</v>
      </c>
    </row>
    <row r="300" spans="2:9" ht="26.25" customHeight="1">
      <c r="B300" s="52">
        <v>46271</v>
      </c>
      <c r="C300" s="70" t="s">
        <v>53</v>
      </c>
      <c r="D300" s="31">
        <v>15</v>
      </c>
      <c r="E300" s="35">
        <v>25</v>
      </c>
      <c r="F300" s="35">
        <v>22.25</v>
      </c>
      <c r="G300" s="35">
        <f t="shared" si="33"/>
        <v>41.25</v>
      </c>
      <c r="H300" s="5" t="str">
        <f t="shared" si="34"/>
        <v>Sunday</v>
      </c>
      <c r="I300" s="19" t="str">
        <f t="shared" si="35"/>
        <v>Week 5</v>
      </c>
    </row>
    <row r="301" spans="2:9" ht="26.25" customHeight="1">
      <c r="B301" s="52">
        <v>46271</v>
      </c>
      <c r="C301" s="70" t="s">
        <v>52</v>
      </c>
      <c r="D301" s="31">
        <v>6</v>
      </c>
      <c r="E301" s="35">
        <v>35</v>
      </c>
      <c r="F301" s="35">
        <v>29</v>
      </c>
      <c r="G301" s="35">
        <f t="shared" si="33"/>
        <v>36</v>
      </c>
      <c r="H301" s="5" t="str">
        <f t="shared" si="34"/>
        <v>Sunday</v>
      </c>
      <c r="I301" s="19" t="str">
        <f t="shared" si="35"/>
        <v>Week 5</v>
      </c>
    </row>
    <row r="302" spans="2:9" ht="26.25" customHeight="1">
      <c r="B302" s="52">
        <v>46271</v>
      </c>
      <c r="C302" s="70" t="s">
        <v>132</v>
      </c>
      <c r="D302" s="31">
        <v>1</v>
      </c>
      <c r="E302" s="35">
        <v>530</v>
      </c>
      <c r="F302" s="35">
        <v>466</v>
      </c>
      <c r="G302" s="35">
        <f t="shared" si="33"/>
        <v>64</v>
      </c>
      <c r="H302" s="5" t="str">
        <f t="shared" si="34"/>
        <v>Sunday</v>
      </c>
      <c r="I302" s="19" t="str">
        <f t="shared" si="35"/>
        <v>Week 5</v>
      </c>
    </row>
    <row r="303" spans="2:9" ht="26.25" customHeight="1">
      <c r="B303" s="52">
        <v>46271</v>
      </c>
      <c r="C303" s="70" t="s">
        <v>133</v>
      </c>
      <c r="D303" s="31">
        <v>1</v>
      </c>
      <c r="E303" s="35">
        <v>120</v>
      </c>
      <c r="F303" s="35">
        <v>89</v>
      </c>
      <c r="G303" s="35">
        <f t="shared" si="33"/>
        <v>31</v>
      </c>
      <c r="H303" s="5" t="str">
        <f t="shared" si="34"/>
        <v>Sunday</v>
      </c>
      <c r="I303" s="19" t="str">
        <f t="shared" si="35"/>
        <v>Week 5</v>
      </c>
    </row>
    <row r="304" spans="2:9" ht="26.25" customHeight="1">
      <c r="B304" s="52">
        <v>46271</v>
      </c>
      <c r="C304" s="70" t="s">
        <v>78</v>
      </c>
      <c r="D304" s="31">
        <v>2</v>
      </c>
      <c r="E304" s="35">
        <v>250</v>
      </c>
      <c r="F304" s="35">
        <v>210</v>
      </c>
      <c r="G304" s="35">
        <f t="shared" si="33"/>
        <v>80</v>
      </c>
      <c r="H304" s="5" t="str">
        <f t="shared" si="34"/>
        <v>Sunday</v>
      </c>
      <c r="I304" s="19" t="str">
        <f t="shared" si="35"/>
        <v>Week 5</v>
      </c>
    </row>
    <row r="305" spans="2:9" ht="26.25" customHeight="1">
      <c r="B305" s="52">
        <v>46271</v>
      </c>
      <c r="C305" s="70" t="s">
        <v>83</v>
      </c>
      <c r="D305" s="31">
        <v>5</v>
      </c>
      <c r="E305" s="35">
        <v>10</v>
      </c>
      <c r="F305" s="35">
        <v>9.1999999999999993</v>
      </c>
      <c r="G305" s="35">
        <f t="shared" si="33"/>
        <v>4.0000000000000036</v>
      </c>
      <c r="H305" s="5" t="str">
        <f t="shared" si="34"/>
        <v>Sunday</v>
      </c>
      <c r="I305" s="19" t="str">
        <f t="shared" si="35"/>
        <v>Week 5</v>
      </c>
    </row>
    <row r="306" spans="2:9" ht="26.25" customHeight="1">
      <c r="B306" s="52">
        <v>46272</v>
      </c>
      <c r="C306" s="70" t="s">
        <v>33</v>
      </c>
      <c r="D306" s="31">
        <v>4</v>
      </c>
      <c r="E306" s="35">
        <v>550</v>
      </c>
      <c r="F306" s="35">
        <v>523</v>
      </c>
      <c r="G306" s="35">
        <f t="shared" si="33"/>
        <v>108</v>
      </c>
      <c r="H306" s="5" t="str">
        <f t="shared" si="34"/>
        <v>Monday</v>
      </c>
      <c r="I306" s="19" t="str">
        <f t="shared" si="35"/>
        <v>Week 6</v>
      </c>
    </row>
    <row r="307" spans="2:9" ht="26.25" customHeight="1">
      <c r="B307" s="52">
        <v>46272</v>
      </c>
      <c r="C307" s="70" t="s">
        <v>155</v>
      </c>
      <c r="D307" s="31">
        <v>6</v>
      </c>
      <c r="E307" s="35">
        <v>110</v>
      </c>
      <c r="F307" s="35">
        <v>91</v>
      </c>
      <c r="G307" s="35">
        <f t="shared" si="33"/>
        <v>114</v>
      </c>
      <c r="H307" s="5" t="str">
        <f t="shared" si="34"/>
        <v>Monday</v>
      </c>
      <c r="I307" s="19" t="str">
        <f t="shared" si="35"/>
        <v>Week 6</v>
      </c>
    </row>
    <row r="308" spans="2:9" ht="26.25" customHeight="1">
      <c r="B308" s="52">
        <v>46272</v>
      </c>
      <c r="C308" s="70" t="s">
        <v>116</v>
      </c>
      <c r="D308" s="31">
        <v>2</v>
      </c>
      <c r="E308" s="35">
        <v>210</v>
      </c>
      <c r="F308" s="35">
        <v>185</v>
      </c>
      <c r="G308" s="35">
        <f t="shared" si="33"/>
        <v>50</v>
      </c>
      <c r="H308" s="5" t="str">
        <f t="shared" si="34"/>
        <v>Monday</v>
      </c>
      <c r="I308" s="19" t="str">
        <f t="shared" si="35"/>
        <v>Week 6</v>
      </c>
    </row>
    <row r="309" spans="2:9" ht="26.25" customHeight="1">
      <c r="B309" s="52">
        <v>46272</v>
      </c>
      <c r="C309" s="70" t="s">
        <v>117</v>
      </c>
      <c r="D309" s="31">
        <v>2</v>
      </c>
      <c r="E309" s="35">
        <v>110</v>
      </c>
      <c r="F309" s="35">
        <v>90</v>
      </c>
      <c r="G309" s="35">
        <f t="shared" si="33"/>
        <v>40</v>
      </c>
      <c r="H309" s="5" t="str">
        <f t="shared" si="34"/>
        <v>Monday</v>
      </c>
      <c r="I309" s="19" t="str">
        <f t="shared" si="35"/>
        <v>Week 6</v>
      </c>
    </row>
    <row r="310" spans="2:9" ht="26.25" customHeight="1">
      <c r="B310" s="52">
        <v>46272</v>
      </c>
      <c r="C310" s="70" t="s">
        <v>156</v>
      </c>
      <c r="D310" s="31">
        <v>1</v>
      </c>
      <c r="E310" s="35">
        <v>1200</v>
      </c>
      <c r="F310" s="35">
        <v>980</v>
      </c>
      <c r="G310" s="35">
        <f t="shared" si="33"/>
        <v>220</v>
      </c>
      <c r="H310" s="5" t="str">
        <f t="shared" si="34"/>
        <v>Monday</v>
      </c>
      <c r="I310" s="19" t="str">
        <f t="shared" si="35"/>
        <v>Week 6</v>
      </c>
    </row>
    <row r="311" spans="2:9" ht="26.25" customHeight="1">
      <c r="B311" s="52">
        <v>46272</v>
      </c>
      <c r="C311" s="70" t="s">
        <v>61</v>
      </c>
      <c r="D311" s="31">
        <v>1</v>
      </c>
      <c r="E311" s="35">
        <v>360</v>
      </c>
      <c r="F311" s="35">
        <v>320</v>
      </c>
      <c r="G311" s="35">
        <f t="shared" si="33"/>
        <v>40</v>
      </c>
      <c r="H311" s="5" t="str">
        <f t="shared" si="34"/>
        <v>Monday</v>
      </c>
      <c r="I311" s="19" t="str">
        <f t="shared" si="35"/>
        <v>Week 6</v>
      </c>
    </row>
    <row r="312" spans="2:9" ht="26.25" customHeight="1">
      <c r="B312" s="52">
        <v>46272</v>
      </c>
      <c r="C312" s="70" t="s">
        <v>78</v>
      </c>
      <c r="D312" s="31">
        <v>2</v>
      </c>
      <c r="E312" s="35">
        <v>260</v>
      </c>
      <c r="F312" s="35">
        <v>192</v>
      </c>
      <c r="G312" s="35">
        <f t="shared" si="33"/>
        <v>136</v>
      </c>
      <c r="H312" s="5" t="str">
        <f t="shared" si="34"/>
        <v>Monday</v>
      </c>
      <c r="I312" s="19" t="str">
        <f t="shared" si="35"/>
        <v>Week 6</v>
      </c>
    </row>
    <row r="313" spans="2:9" ht="26.25" customHeight="1">
      <c r="B313" s="52">
        <v>46272</v>
      </c>
      <c r="C313" s="70" t="s">
        <v>157</v>
      </c>
      <c r="D313" s="31">
        <v>1</v>
      </c>
      <c r="E313" s="35">
        <v>140</v>
      </c>
      <c r="F313" s="35">
        <v>119</v>
      </c>
      <c r="G313" s="35">
        <f t="shared" si="33"/>
        <v>21</v>
      </c>
      <c r="H313" s="5" t="str">
        <f t="shared" si="34"/>
        <v>Monday</v>
      </c>
      <c r="I313" s="19" t="str">
        <f t="shared" si="35"/>
        <v>Week 6</v>
      </c>
    </row>
    <row r="314" spans="2:9" ht="26.25" customHeight="1">
      <c r="B314" s="52">
        <v>46272</v>
      </c>
      <c r="C314" s="70" t="s">
        <v>158</v>
      </c>
      <c r="D314" s="31">
        <v>2</v>
      </c>
      <c r="E314" s="30">
        <v>60</v>
      </c>
      <c r="F314" s="30">
        <v>33</v>
      </c>
      <c r="G314" s="30">
        <f t="shared" si="33"/>
        <v>54</v>
      </c>
      <c r="H314" s="7" t="str">
        <f t="shared" si="34"/>
        <v>Monday</v>
      </c>
      <c r="I314" s="18" t="str">
        <f t="shared" si="35"/>
        <v>Week 6</v>
      </c>
    </row>
    <row r="315" spans="2:9" ht="26.25" customHeight="1">
      <c r="B315" s="5"/>
      <c r="C315" s="5"/>
      <c r="D315" s="5"/>
      <c r="E315" s="5"/>
      <c r="F315" s="5"/>
      <c r="G315" s="5"/>
      <c r="H315" s="5"/>
      <c r="I315" s="5"/>
    </row>
    <row r="316" spans="2:9" ht="26.25" customHeight="1">
      <c r="B316" s="5"/>
      <c r="C316" s="5"/>
      <c r="D316" s="5"/>
      <c r="E316" s="5"/>
      <c r="F316" s="5"/>
      <c r="G316" s="5"/>
      <c r="H316" s="5"/>
      <c r="I316" s="5"/>
    </row>
    <row r="317" spans="2:9" ht="26.25" customHeight="1">
      <c r="B317" s="5"/>
      <c r="C317" s="5"/>
      <c r="D317" s="5"/>
      <c r="E317" s="5"/>
      <c r="F317" s="5"/>
      <c r="G317" s="5"/>
      <c r="H317" s="5"/>
      <c r="I317" s="5"/>
    </row>
    <row r="318" spans="2:9" ht="26.25" customHeight="1">
      <c r="B318" s="5"/>
      <c r="C318" s="5"/>
      <c r="D318" s="5"/>
      <c r="E318" s="5"/>
      <c r="F318" s="5"/>
      <c r="G318" s="5"/>
      <c r="H318" s="5"/>
      <c r="I318" s="5"/>
    </row>
    <row r="319" spans="2:9" ht="26.25" customHeight="1">
      <c r="B319" s="5"/>
      <c r="C319" s="5"/>
      <c r="D319" s="5"/>
      <c r="E319" s="5"/>
      <c r="F319" s="5"/>
      <c r="G319" s="5"/>
      <c r="H319" s="5"/>
      <c r="I319" s="5"/>
    </row>
    <row r="320" spans="2:9" ht="26.25" customHeight="1">
      <c r="B320" s="5"/>
      <c r="C320" s="5"/>
      <c r="D320" s="5"/>
      <c r="E320" s="5"/>
      <c r="F320" s="5"/>
      <c r="G320" s="5"/>
      <c r="H320" s="5"/>
      <c r="I320" s="5"/>
    </row>
    <row r="321" spans="2:9" ht="26.25" customHeight="1">
      <c r="B321" s="5"/>
      <c r="C321" s="5"/>
      <c r="D321" s="5"/>
      <c r="E321" s="5"/>
      <c r="F321" s="5"/>
      <c r="G321" s="5"/>
      <c r="H321" s="5"/>
      <c r="I321" s="5"/>
    </row>
    <row r="322" spans="2:9" ht="26.25" customHeight="1">
      <c r="B322" s="5"/>
      <c r="C322" s="5"/>
      <c r="D322" s="5"/>
      <c r="E322" s="5"/>
      <c r="F322" s="5"/>
      <c r="G322" s="5"/>
      <c r="H322" s="5"/>
      <c r="I322" s="5"/>
    </row>
    <row r="323" spans="2:9" ht="26.25" customHeight="1">
      <c r="B323" s="5"/>
      <c r="C323" s="5"/>
      <c r="D323" s="5"/>
      <c r="E323" s="5"/>
      <c r="F323" s="5"/>
      <c r="G323" s="5"/>
      <c r="H323" s="5"/>
      <c r="I323" s="5"/>
    </row>
    <row r="324" spans="2:9" ht="26.25" customHeight="1">
      <c r="B324" s="5"/>
      <c r="C324" s="5"/>
      <c r="D324" s="5"/>
      <c r="E324" s="5"/>
      <c r="F324" s="5"/>
      <c r="G324" s="5"/>
      <c r="H324" s="5"/>
      <c r="I324" s="5"/>
    </row>
    <row r="325" spans="2:9" ht="26.25" customHeight="1">
      <c r="B325" s="5"/>
      <c r="C325" s="5"/>
      <c r="D325" s="5"/>
      <c r="E325" s="5"/>
      <c r="F325" s="5"/>
      <c r="G325" s="5"/>
      <c r="H325" s="5"/>
      <c r="I325" s="5"/>
    </row>
    <row r="326" spans="2:9" ht="26.25" customHeight="1">
      <c r="B326" s="5"/>
      <c r="C326" s="5"/>
      <c r="D326" s="5"/>
      <c r="E326" s="5"/>
      <c r="F326" s="5"/>
      <c r="G326" s="5"/>
      <c r="H326" s="5"/>
      <c r="I326" s="5"/>
    </row>
    <row r="327" spans="2:9" ht="26.25" customHeight="1">
      <c r="B327" s="5"/>
      <c r="C327" s="5"/>
      <c r="D327" s="5"/>
      <c r="E327" s="5"/>
      <c r="F327" s="5"/>
      <c r="G327" s="5"/>
      <c r="H327" s="5"/>
      <c r="I327" s="5"/>
    </row>
    <row r="328" spans="2:9" ht="26.25" customHeight="1">
      <c r="B328" s="5"/>
      <c r="C328" s="5"/>
      <c r="D328" s="5"/>
      <c r="E328" s="5"/>
      <c r="F328" s="5"/>
      <c r="G328" s="5"/>
      <c r="H328" s="5"/>
      <c r="I328" s="5"/>
    </row>
    <row r="329" spans="2:9" ht="26.25" customHeight="1">
      <c r="B329" s="5"/>
      <c r="C329" s="5"/>
      <c r="D329" s="5"/>
      <c r="E329" s="5"/>
      <c r="F329" s="5"/>
      <c r="G329" s="5"/>
      <c r="H329" s="5"/>
      <c r="I329" s="5"/>
    </row>
    <row r="330" spans="2:9" ht="26.25" customHeight="1">
      <c r="B330" s="5"/>
      <c r="C330" s="5"/>
      <c r="D330" s="5"/>
      <c r="E330" s="5"/>
      <c r="F330" s="5"/>
      <c r="G330" s="5"/>
      <c r="H330" s="5"/>
      <c r="I330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8294-62BD-484F-A80B-A729171D419B}">
  <dimension ref="E2:Y50"/>
  <sheetViews>
    <sheetView topLeftCell="F32" workbookViewId="0">
      <selection activeCell="O52" sqref="O52"/>
    </sheetView>
  </sheetViews>
  <sheetFormatPr defaultColWidth="9.42578125" defaultRowHeight="20.25" customHeight="1"/>
  <cols>
    <col min="5" max="5" width="14.5703125" customWidth="1"/>
    <col min="6" max="6" width="24.42578125" customWidth="1"/>
    <col min="14" max="14" width="19.140625" bestFit="1" customWidth="1"/>
    <col min="15" max="15" width="21.28515625" style="29" bestFit="1" customWidth="1"/>
    <col min="24" max="24" width="16.42578125" bestFit="1" customWidth="1"/>
    <col min="25" max="25" width="10.85546875" bestFit="1" customWidth="1"/>
  </cols>
  <sheetData>
    <row r="2" spans="5:25" ht="15" customHeight="1">
      <c r="E2" s="59" t="s">
        <v>23</v>
      </c>
      <c r="F2" s="60" t="s">
        <v>159</v>
      </c>
      <c r="N2" s="45" t="s">
        <v>23</v>
      </c>
      <c r="O2" s="64" t="s">
        <v>159</v>
      </c>
      <c r="X2" s="43" t="s">
        <v>23</v>
      </c>
      <c r="Y2" s="44" t="s">
        <v>159</v>
      </c>
    </row>
    <row r="4" spans="5:25" ht="15" customHeight="1">
      <c r="E4" s="42" t="s">
        <v>16</v>
      </c>
      <c r="F4" s="63" t="s">
        <v>160</v>
      </c>
      <c r="N4" s="66" t="s">
        <v>17</v>
      </c>
      <c r="O4" s="68" t="s">
        <v>161</v>
      </c>
      <c r="X4" s="43" t="s">
        <v>17</v>
      </c>
      <c r="Y4" s="44" t="s">
        <v>162</v>
      </c>
    </row>
    <row r="5" spans="5:25" ht="17.25" customHeight="1">
      <c r="E5" s="41">
        <v>46237</v>
      </c>
      <c r="F5" s="61">
        <v>562.20000000000005</v>
      </c>
      <c r="N5" s="67" t="s">
        <v>27</v>
      </c>
      <c r="O5" s="69">
        <v>470</v>
      </c>
      <c r="X5" s="44" t="s">
        <v>58</v>
      </c>
      <c r="Y5" s="46">
        <v>21</v>
      </c>
    </row>
    <row r="6" spans="5:25" ht="15" customHeight="1">
      <c r="E6" s="41">
        <v>46238</v>
      </c>
      <c r="F6" s="61">
        <v>683</v>
      </c>
      <c r="N6" s="67" t="s">
        <v>39</v>
      </c>
      <c r="O6" s="69">
        <v>380</v>
      </c>
      <c r="X6" s="44" t="s">
        <v>55</v>
      </c>
      <c r="Y6" s="47">
        <v>20</v>
      </c>
    </row>
    <row r="7" spans="5:25" ht="15" customHeight="1">
      <c r="E7" s="41">
        <v>46239</v>
      </c>
      <c r="F7" s="61">
        <v>272</v>
      </c>
      <c r="N7" s="67" t="s">
        <v>48</v>
      </c>
      <c r="O7" s="69">
        <v>256</v>
      </c>
      <c r="X7" s="44" t="s">
        <v>52</v>
      </c>
      <c r="Y7" s="47">
        <v>15</v>
      </c>
    </row>
    <row r="8" spans="5:25" ht="15" customHeight="1">
      <c r="E8" s="41">
        <v>46240</v>
      </c>
      <c r="F8" s="61">
        <v>558</v>
      </c>
      <c r="N8" s="67" t="s">
        <v>24</v>
      </c>
      <c r="O8" s="69">
        <v>238</v>
      </c>
      <c r="X8" s="44" t="s">
        <v>24</v>
      </c>
      <c r="Y8" s="47">
        <v>14</v>
      </c>
    </row>
    <row r="9" spans="5:25" ht="15" customHeight="1">
      <c r="E9" s="41">
        <v>46241</v>
      </c>
      <c r="F9" s="61">
        <v>601.5</v>
      </c>
      <c r="N9" s="67" t="s">
        <v>56</v>
      </c>
      <c r="O9" s="69">
        <v>220</v>
      </c>
      <c r="X9" s="44" t="s">
        <v>31</v>
      </c>
      <c r="Y9" s="47">
        <v>14</v>
      </c>
    </row>
    <row r="10" spans="5:25" ht="15" customHeight="1">
      <c r="E10" s="41">
        <v>46242</v>
      </c>
      <c r="F10" s="61">
        <v>399.4</v>
      </c>
      <c r="N10" s="67" t="s">
        <v>33</v>
      </c>
      <c r="O10" s="69">
        <v>162</v>
      </c>
      <c r="X10" s="44" t="s">
        <v>28</v>
      </c>
      <c r="Y10" s="47">
        <v>10</v>
      </c>
    </row>
    <row r="11" spans="5:25" ht="15" customHeight="1">
      <c r="E11" s="41">
        <v>46243</v>
      </c>
      <c r="F11" s="61">
        <v>564.29999999999995</v>
      </c>
      <c r="N11" s="67" t="s">
        <v>31</v>
      </c>
      <c r="O11" s="69">
        <v>126</v>
      </c>
      <c r="X11" s="44" t="s">
        <v>29</v>
      </c>
      <c r="Y11" s="47">
        <v>8</v>
      </c>
    </row>
    <row r="12" spans="5:25" ht="15" customHeight="1">
      <c r="E12" s="62" t="s">
        <v>163</v>
      </c>
      <c r="F12" s="40">
        <v>3640.3999999999996</v>
      </c>
      <c r="N12" s="67" t="s">
        <v>25</v>
      </c>
      <c r="O12" s="69">
        <v>120</v>
      </c>
      <c r="X12" s="44" t="s">
        <v>53</v>
      </c>
      <c r="Y12" s="47">
        <v>8</v>
      </c>
    </row>
    <row r="13" spans="5:25" ht="15" customHeight="1">
      <c r="N13" s="67" t="s">
        <v>52</v>
      </c>
      <c r="O13" s="69">
        <v>97.5</v>
      </c>
      <c r="X13" s="44" t="s">
        <v>38</v>
      </c>
      <c r="Y13" s="47">
        <v>7</v>
      </c>
    </row>
    <row r="14" spans="5:25" ht="15" customHeight="1">
      <c r="N14" s="67" t="s">
        <v>50</v>
      </c>
      <c r="O14" s="69">
        <v>96</v>
      </c>
      <c r="X14" s="44" t="s">
        <v>42</v>
      </c>
      <c r="Y14" s="47">
        <v>6</v>
      </c>
    </row>
    <row r="15" spans="5:25" ht="15" customHeight="1">
      <c r="N15" s="67" t="s">
        <v>47</v>
      </c>
      <c r="O15" s="69">
        <v>94</v>
      </c>
      <c r="X15" s="44" t="s">
        <v>34</v>
      </c>
      <c r="Y15" s="47">
        <v>6</v>
      </c>
    </row>
    <row r="16" spans="5:25" ht="15" customHeight="1">
      <c r="N16" s="67" t="s">
        <v>35</v>
      </c>
      <c r="O16" s="69">
        <v>84</v>
      </c>
      <c r="X16" s="44" t="s">
        <v>44</v>
      </c>
      <c r="Y16" s="47">
        <v>6</v>
      </c>
    </row>
    <row r="17" spans="14:25" ht="15" customHeight="1">
      <c r="N17" s="67" t="s">
        <v>54</v>
      </c>
      <c r="O17" s="69">
        <v>76</v>
      </c>
      <c r="X17" s="44" t="s">
        <v>33</v>
      </c>
      <c r="Y17" s="47">
        <v>6</v>
      </c>
    </row>
    <row r="18" spans="14:25" ht="15" customHeight="1">
      <c r="N18" s="67" t="s">
        <v>59</v>
      </c>
      <c r="O18" s="69">
        <v>74</v>
      </c>
      <c r="X18" s="44" t="s">
        <v>41</v>
      </c>
      <c r="Y18" s="47">
        <v>5</v>
      </c>
    </row>
    <row r="19" spans="14:25" ht="15" customHeight="1">
      <c r="N19" s="67" t="s">
        <v>34</v>
      </c>
      <c r="O19" s="69">
        <v>72</v>
      </c>
      <c r="X19" s="44" t="s">
        <v>35</v>
      </c>
      <c r="Y19" s="47">
        <v>4</v>
      </c>
    </row>
    <row r="20" spans="14:25" ht="15" customHeight="1">
      <c r="N20" s="67" t="s">
        <v>65</v>
      </c>
      <c r="O20" s="69">
        <v>70</v>
      </c>
      <c r="X20" s="44" t="s">
        <v>37</v>
      </c>
      <c r="Y20" s="47">
        <v>4</v>
      </c>
    </row>
    <row r="21" spans="14:25" ht="15" customHeight="1">
      <c r="N21" s="67" t="s">
        <v>30</v>
      </c>
      <c r="O21" s="69">
        <v>70</v>
      </c>
      <c r="X21" s="44" t="s">
        <v>50</v>
      </c>
      <c r="Y21" s="47">
        <v>4</v>
      </c>
    </row>
    <row r="22" spans="14:25" ht="15" customHeight="1">
      <c r="N22" s="67" t="s">
        <v>40</v>
      </c>
      <c r="O22" s="69">
        <v>66</v>
      </c>
      <c r="X22" s="44" t="s">
        <v>32</v>
      </c>
      <c r="Y22" s="47">
        <v>4</v>
      </c>
    </row>
    <row r="23" spans="14:25" ht="15" customHeight="1">
      <c r="N23" s="67" t="s">
        <v>28</v>
      </c>
      <c r="O23" s="69">
        <v>64</v>
      </c>
      <c r="X23" s="44" t="s">
        <v>67</v>
      </c>
      <c r="Y23" s="47">
        <v>4</v>
      </c>
    </row>
    <row r="24" spans="14:25" ht="15" customHeight="1">
      <c r="N24" s="67" t="s">
        <v>41</v>
      </c>
      <c r="O24" s="69">
        <v>55</v>
      </c>
      <c r="X24" s="44" t="s">
        <v>39</v>
      </c>
      <c r="Y24" s="47">
        <v>4</v>
      </c>
    </row>
    <row r="25" spans="14:25" ht="15" customHeight="1">
      <c r="N25" s="67" t="s">
        <v>60</v>
      </c>
      <c r="O25" s="69">
        <v>54</v>
      </c>
      <c r="X25" s="44" t="s">
        <v>68</v>
      </c>
      <c r="Y25" s="47">
        <v>3</v>
      </c>
    </row>
    <row r="26" spans="14:25" ht="15" customHeight="1">
      <c r="N26" s="67" t="s">
        <v>26</v>
      </c>
      <c r="O26" s="69">
        <v>52</v>
      </c>
      <c r="X26" s="44" t="s">
        <v>60</v>
      </c>
      <c r="Y26" s="47">
        <v>3</v>
      </c>
    </row>
    <row r="27" spans="14:25" ht="15" customHeight="1">
      <c r="N27" s="67" t="s">
        <v>55</v>
      </c>
      <c r="O27" s="69">
        <v>48</v>
      </c>
      <c r="X27" s="44" t="s">
        <v>57</v>
      </c>
      <c r="Y27" s="47">
        <v>3</v>
      </c>
    </row>
    <row r="28" spans="14:25" ht="15" customHeight="1">
      <c r="N28" s="67" t="s">
        <v>42</v>
      </c>
      <c r="O28" s="69">
        <v>48</v>
      </c>
      <c r="X28" s="44" t="s">
        <v>27</v>
      </c>
      <c r="Y28" s="47">
        <v>3</v>
      </c>
    </row>
    <row r="29" spans="14:25" ht="15" customHeight="1">
      <c r="N29" s="67" t="s">
        <v>46</v>
      </c>
      <c r="O29" s="69">
        <v>48</v>
      </c>
      <c r="X29" s="44" t="s">
        <v>48</v>
      </c>
      <c r="Y29" s="47">
        <v>2</v>
      </c>
    </row>
    <row r="30" spans="14:25" ht="15" customHeight="1">
      <c r="N30" s="67" t="s">
        <v>63</v>
      </c>
      <c r="O30" s="69">
        <v>43</v>
      </c>
      <c r="X30" s="44" t="s">
        <v>66</v>
      </c>
      <c r="Y30" s="47">
        <v>2</v>
      </c>
    </row>
    <row r="31" spans="14:25" ht="15" customHeight="1">
      <c r="N31" s="67" t="s">
        <v>61</v>
      </c>
      <c r="O31" s="69">
        <v>40</v>
      </c>
      <c r="X31" s="44" t="s">
        <v>49</v>
      </c>
      <c r="Y31" s="47">
        <v>2</v>
      </c>
    </row>
    <row r="32" spans="14:25" ht="15" customHeight="1">
      <c r="N32" s="67" t="s">
        <v>49</v>
      </c>
      <c r="O32" s="69">
        <v>38</v>
      </c>
      <c r="X32" s="44" t="s">
        <v>45</v>
      </c>
      <c r="Y32" s="47">
        <v>2</v>
      </c>
    </row>
    <row r="33" spans="14:25" ht="15" customHeight="1">
      <c r="N33" s="67" t="s">
        <v>64</v>
      </c>
      <c r="O33" s="69">
        <v>36</v>
      </c>
      <c r="X33" s="44" t="s">
        <v>47</v>
      </c>
      <c r="Y33" s="47">
        <v>2</v>
      </c>
    </row>
    <row r="34" spans="14:25" ht="15" customHeight="1">
      <c r="N34" s="67" t="s">
        <v>43</v>
      </c>
      <c r="O34" s="69">
        <v>36</v>
      </c>
      <c r="X34" s="44" t="s">
        <v>46</v>
      </c>
      <c r="Y34" s="47">
        <v>2</v>
      </c>
    </row>
    <row r="35" spans="14:25" ht="15" customHeight="1">
      <c r="N35" s="67" t="s">
        <v>45</v>
      </c>
      <c r="O35" s="69">
        <v>32</v>
      </c>
      <c r="X35" s="44" t="s">
        <v>26</v>
      </c>
      <c r="Y35" s="47">
        <v>2</v>
      </c>
    </row>
    <row r="36" spans="14:25" ht="15" customHeight="1">
      <c r="N36" s="67" t="s">
        <v>57</v>
      </c>
      <c r="O36" s="69">
        <v>31.5</v>
      </c>
      <c r="X36" s="44" t="s">
        <v>51</v>
      </c>
      <c r="Y36" s="47">
        <v>2</v>
      </c>
    </row>
    <row r="37" spans="14:25" ht="15" customHeight="1">
      <c r="N37" s="67" t="s">
        <v>36</v>
      </c>
      <c r="O37" s="69">
        <v>30</v>
      </c>
      <c r="X37" s="44" t="s">
        <v>43</v>
      </c>
      <c r="Y37" s="47">
        <v>2</v>
      </c>
    </row>
    <row r="38" spans="14:25" ht="15" customHeight="1">
      <c r="N38" s="67" t="s">
        <v>37</v>
      </c>
      <c r="O38" s="69">
        <v>28</v>
      </c>
      <c r="X38" s="44" t="s">
        <v>54</v>
      </c>
      <c r="Y38" s="47">
        <v>2</v>
      </c>
    </row>
    <row r="39" spans="14:25" ht="15" customHeight="1">
      <c r="N39" s="67" t="s">
        <v>51</v>
      </c>
      <c r="O39" s="69">
        <v>26</v>
      </c>
      <c r="X39" s="44" t="s">
        <v>40</v>
      </c>
      <c r="Y39" s="47">
        <v>2</v>
      </c>
    </row>
    <row r="40" spans="14:25" ht="15" customHeight="1">
      <c r="N40" s="67" t="s">
        <v>53</v>
      </c>
      <c r="O40" s="69">
        <v>24</v>
      </c>
      <c r="X40" s="44" t="s">
        <v>59</v>
      </c>
      <c r="Y40" s="47">
        <v>2</v>
      </c>
    </row>
    <row r="41" spans="14:25" ht="15" customHeight="1">
      <c r="N41" s="67" t="s">
        <v>44</v>
      </c>
      <c r="O41" s="69">
        <v>21</v>
      </c>
      <c r="X41" s="44" t="s">
        <v>36</v>
      </c>
      <c r="Y41" s="47">
        <v>2</v>
      </c>
    </row>
    <row r="42" spans="14:25" ht="15" customHeight="1">
      <c r="N42" s="67" t="s">
        <v>62</v>
      </c>
      <c r="O42" s="69">
        <v>20</v>
      </c>
      <c r="X42" s="44" t="s">
        <v>56</v>
      </c>
      <c r="Y42" s="47">
        <v>1</v>
      </c>
    </row>
    <row r="43" spans="14:25" ht="15" customHeight="1">
      <c r="N43" s="67" t="s">
        <v>58</v>
      </c>
      <c r="O43" s="69">
        <v>18.900000000000006</v>
      </c>
      <c r="X43" s="44" t="s">
        <v>64</v>
      </c>
      <c r="Y43" s="47">
        <v>1</v>
      </c>
    </row>
    <row r="44" spans="14:25" ht="15" customHeight="1">
      <c r="N44" s="67" t="s">
        <v>66</v>
      </c>
      <c r="O44" s="69">
        <v>18</v>
      </c>
      <c r="X44" s="44" t="s">
        <v>63</v>
      </c>
      <c r="Y44" s="47">
        <v>1</v>
      </c>
    </row>
    <row r="45" spans="14:25" ht="15" customHeight="1">
      <c r="N45" s="67" t="s">
        <v>38</v>
      </c>
      <c r="O45" s="69">
        <v>14</v>
      </c>
      <c r="X45" s="44" t="s">
        <v>62</v>
      </c>
      <c r="Y45" s="47">
        <v>1</v>
      </c>
    </row>
    <row r="46" spans="14:25" ht="15" customHeight="1">
      <c r="N46" s="67" t="s">
        <v>68</v>
      </c>
      <c r="O46" s="69">
        <v>13.5</v>
      </c>
      <c r="X46" s="44" t="s">
        <v>30</v>
      </c>
      <c r="Y46" s="47">
        <v>1</v>
      </c>
    </row>
    <row r="47" spans="14:25" ht="15" customHeight="1">
      <c r="N47" s="67" t="s">
        <v>32</v>
      </c>
      <c r="O47" s="69">
        <v>12</v>
      </c>
      <c r="X47" s="44" t="s">
        <v>25</v>
      </c>
      <c r="Y47" s="47">
        <v>1</v>
      </c>
    </row>
    <row r="48" spans="14:25" ht="15" customHeight="1">
      <c r="N48" s="67" t="s">
        <v>67</v>
      </c>
      <c r="O48" s="69">
        <v>10.8</v>
      </c>
      <c r="X48" s="44" t="s">
        <v>61</v>
      </c>
      <c r="Y48" s="47">
        <v>1</v>
      </c>
    </row>
    <row r="49" spans="14:25" ht="15" customHeight="1">
      <c r="N49" s="67" t="s">
        <v>29</v>
      </c>
      <c r="O49" s="69">
        <v>7.2000000000000028</v>
      </c>
      <c r="X49" s="44" t="s">
        <v>65</v>
      </c>
      <c r="Y49" s="47">
        <v>1</v>
      </c>
    </row>
    <row r="50" spans="14:25" ht="15" customHeight="1">
      <c r="N50" s="67" t="s">
        <v>163</v>
      </c>
      <c r="O50" s="65">
        <v>3640.4</v>
      </c>
      <c r="X50" s="44" t="s">
        <v>163</v>
      </c>
      <c r="Y50" s="47">
        <v>216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EE55-682B-4DB3-9E3A-02784C677D9F}">
  <dimension ref="E2:Z55"/>
  <sheetViews>
    <sheetView workbookViewId="0">
      <selection activeCell="Q10" sqref="Q10"/>
    </sheetView>
  </sheetViews>
  <sheetFormatPr defaultRowHeight="15"/>
  <cols>
    <col min="5" max="5" width="11.7109375" bestFit="1" customWidth="1"/>
    <col min="6" max="6" width="11.140625" bestFit="1" customWidth="1"/>
    <col min="14" max="14" width="20" bestFit="1" customWidth="1"/>
    <col min="15" max="15" width="11.140625" bestFit="1" customWidth="1"/>
    <col min="25" max="25" width="20" bestFit="1" customWidth="1"/>
    <col min="26" max="26" width="10.85546875" bestFit="1" customWidth="1"/>
  </cols>
  <sheetData>
    <row r="2" spans="5:26">
      <c r="E2" s="43" t="s">
        <v>23</v>
      </c>
      <c r="F2" s="44" t="s">
        <v>164</v>
      </c>
      <c r="N2" s="43" t="s">
        <v>23</v>
      </c>
      <c r="O2" s="44" t="s">
        <v>164</v>
      </c>
      <c r="Y2" s="43" t="s">
        <v>23</v>
      </c>
      <c r="Z2" s="44" t="s">
        <v>164</v>
      </c>
    </row>
    <row r="4" spans="5:26">
      <c r="E4" s="43" t="s">
        <v>16</v>
      </c>
      <c r="F4" s="44" t="s">
        <v>160</v>
      </c>
      <c r="N4" s="43" t="s">
        <v>17</v>
      </c>
      <c r="O4" s="44" t="s">
        <v>161</v>
      </c>
      <c r="Y4" s="43" t="s">
        <v>17</v>
      </c>
      <c r="Z4" s="44" t="s">
        <v>162</v>
      </c>
    </row>
    <row r="5" spans="5:26">
      <c r="E5" s="48">
        <v>46244</v>
      </c>
      <c r="F5" s="49">
        <v>326.2</v>
      </c>
      <c r="N5" s="44" t="s">
        <v>82</v>
      </c>
      <c r="O5" s="49">
        <v>270</v>
      </c>
      <c r="Y5" s="44" t="s">
        <v>79</v>
      </c>
      <c r="Z5" s="47">
        <v>39</v>
      </c>
    </row>
    <row r="6" spans="5:26">
      <c r="E6" s="48">
        <v>46245</v>
      </c>
      <c r="F6" s="49">
        <v>327.8</v>
      </c>
      <c r="N6" s="44" t="s">
        <v>33</v>
      </c>
      <c r="O6" s="49">
        <v>200</v>
      </c>
      <c r="Y6" s="44" t="s">
        <v>76</v>
      </c>
      <c r="Z6" s="47">
        <v>23</v>
      </c>
    </row>
    <row r="7" spans="5:26">
      <c r="E7" s="48">
        <v>46246</v>
      </c>
      <c r="F7" s="49">
        <v>607.79999999999995</v>
      </c>
      <c r="N7" s="44" t="s">
        <v>24</v>
      </c>
      <c r="O7" s="49">
        <v>165</v>
      </c>
      <c r="Y7" s="44" t="s">
        <v>84</v>
      </c>
      <c r="Z7" s="47">
        <v>20</v>
      </c>
    </row>
    <row r="8" spans="5:26">
      <c r="E8" s="48">
        <v>46247</v>
      </c>
      <c r="F8" s="49">
        <v>421.00000000000006</v>
      </c>
      <c r="N8" s="44" t="s">
        <v>102</v>
      </c>
      <c r="O8" s="49">
        <v>160</v>
      </c>
      <c r="Y8" s="44" t="s">
        <v>83</v>
      </c>
      <c r="Z8" s="47">
        <v>16</v>
      </c>
    </row>
    <row r="9" spans="5:26">
      <c r="E9" s="48">
        <v>46248</v>
      </c>
      <c r="F9" s="49">
        <v>450.3</v>
      </c>
      <c r="N9" s="44" t="s">
        <v>75</v>
      </c>
      <c r="O9" s="49">
        <v>158.00000000000006</v>
      </c>
      <c r="Y9" s="44" t="s">
        <v>58</v>
      </c>
      <c r="Z9" s="47">
        <v>12</v>
      </c>
    </row>
    <row r="10" spans="5:26">
      <c r="E10" s="48">
        <v>46249</v>
      </c>
      <c r="F10" s="49">
        <v>457.5</v>
      </c>
      <c r="N10" s="44" t="s">
        <v>26</v>
      </c>
      <c r="O10" s="49">
        <v>149</v>
      </c>
      <c r="Y10" s="44" t="s">
        <v>75</v>
      </c>
      <c r="Z10" s="47">
        <v>10</v>
      </c>
    </row>
    <row r="11" spans="5:26">
      <c r="E11" s="48">
        <v>46250</v>
      </c>
      <c r="F11" s="49">
        <v>492.8</v>
      </c>
      <c r="N11" s="44" t="s">
        <v>96</v>
      </c>
      <c r="O11" s="49">
        <v>120</v>
      </c>
      <c r="Y11" s="44" t="s">
        <v>24</v>
      </c>
      <c r="Z11" s="47">
        <v>7</v>
      </c>
    </row>
    <row r="12" spans="5:26">
      <c r="E12" s="44" t="s">
        <v>163</v>
      </c>
      <c r="F12" s="49">
        <v>3083.4</v>
      </c>
      <c r="N12" s="44" t="s">
        <v>57</v>
      </c>
      <c r="O12" s="49">
        <v>94.5</v>
      </c>
      <c r="Y12" s="44" t="s">
        <v>57</v>
      </c>
      <c r="Z12" s="47">
        <v>7</v>
      </c>
    </row>
    <row r="13" spans="5:26">
      <c r="N13" s="44" t="s">
        <v>31</v>
      </c>
      <c r="O13" s="49">
        <v>90</v>
      </c>
      <c r="Y13" s="44" t="s">
        <v>33</v>
      </c>
      <c r="Z13" s="47">
        <v>6</v>
      </c>
    </row>
    <row r="14" spans="5:26">
      <c r="N14" s="44" t="s">
        <v>86</v>
      </c>
      <c r="O14" s="49">
        <v>82</v>
      </c>
      <c r="Y14" s="44" t="s">
        <v>42</v>
      </c>
      <c r="Z14" s="47">
        <v>6</v>
      </c>
    </row>
    <row r="15" spans="5:26">
      <c r="N15" s="44" t="s">
        <v>79</v>
      </c>
      <c r="O15" s="49">
        <v>81.599999999999994</v>
      </c>
      <c r="Y15" s="44" t="s">
        <v>52</v>
      </c>
      <c r="Z15" s="47">
        <v>6</v>
      </c>
    </row>
    <row r="16" spans="5:26">
      <c r="N16" s="44" t="s">
        <v>78</v>
      </c>
      <c r="O16" s="49">
        <v>80</v>
      </c>
      <c r="Y16" s="44" t="s">
        <v>73</v>
      </c>
      <c r="Z16" s="47">
        <v>6</v>
      </c>
    </row>
    <row r="17" spans="14:26">
      <c r="N17" s="44" t="s">
        <v>80</v>
      </c>
      <c r="O17" s="49">
        <v>75</v>
      </c>
      <c r="Y17" s="44" t="s">
        <v>104</v>
      </c>
      <c r="Z17" s="47">
        <v>5</v>
      </c>
    </row>
    <row r="18" spans="14:26">
      <c r="N18" s="44" t="s">
        <v>39</v>
      </c>
      <c r="O18" s="49">
        <v>74</v>
      </c>
      <c r="Y18" s="44" t="s">
        <v>31</v>
      </c>
      <c r="Z18" s="47">
        <v>5</v>
      </c>
    </row>
    <row r="19" spans="14:26">
      <c r="N19" s="44" t="s">
        <v>95</v>
      </c>
      <c r="O19" s="49">
        <v>74</v>
      </c>
      <c r="Y19" s="44" t="s">
        <v>53</v>
      </c>
      <c r="Z19" s="47">
        <v>4</v>
      </c>
    </row>
    <row r="20" spans="14:26">
      <c r="N20" s="44" t="s">
        <v>69</v>
      </c>
      <c r="O20" s="49">
        <v>70</v>
      </c>
      <c r="Y20" s="44" t="s">
        <v>26</v>
      </c>
      <c r="Z20" s="47">
        <v>4</v>
      </c>
    </row>
    <row r="21" spans="14:26">
      <c r="N21" s="44" t="s">
        <v>81</v>
      </c>
      <c r="O21" s="49">
        <v>70</v>
      </c>
      <c r="Y21" s="44" t="s">
        <v>87</v>
      </c>
      <c r="Z21" s="47">
        <v>4</v>
      </c>
    </row>
    <row r="22" spans="14:26">
      <c r="N22" s="44" t="s">
        <v>85</v>
      </c>
      <c r="O22" s="49">
        <v>70</v>
      </c>
      <c r="Y22" s="44" t="s">
        <v>90</v>
      </c>
      <c r="Z22" s="47">
        <v>3</v>
      </c>
    </row>
    <row r="23" spans="14:26">
      <c r="N23" s="44" t="s">
        <v>42</v>
      </c>
      <c r="O23" s="49">
        <v>66</v>
      </c>
      <c r="Y23" s="44" t="s">
        <v>35</v>
      </c>
      <c r="Z23" s="47">
        <v>3</v>
      </c>
    </row>
    <row r="24" spans="14:26">
      <c r="N24" s="44" t="s">
        <v>58</v>
      </c>
      <c r="O24" s="49">
        <v>64.800000000000011</v>
      </c>
      <c r="Y24" s="44" t="s">
        <v>103</v>
      </c>
      <c r="Z24" s="47">
        <v>3</v>
      </c>
    </row>
    <row r="25" spans="14:26">
      <c r="N25" s="44" t="s">
        <v>90</v>
      </c>
      <c r="O25" s="49">
        <v>62</v>
      </c>
      <c r="Y25" s="44" t="s">
        <v>82</v>
      </c>
      <c r="Z25" s="47">
        <v>3</v>
      </c>
    </row>
    <row r="26" spans="14:26">
      <c r="N26" s="44" t="s">
        <v>84</v>
      </c>
      <c r="O26" s="49">
        <v>60</v>
      </c>
      <c r="Y26" s="44" t="s">
        <v>80</v>
      </c>
      <c r="Z26" s="47">
        <v>3</v>
      </c>
    </row>
    <row r="27" spans="14:26">
      <c r="N27" s="44" t="s">
        <v>40</v>
      </c>
      <c r="O27" s="49">
        <v>56</v>
      </c>
      <c r="Y27" s="44" t="s">
        <v>93</v>
      </c>
      <c r="Z27" s="47">
        <v>2</v>
      </c>
    </row>
    <row r="28" spans="14:26">
      <c r="N28" s="44" t="s">
        <v>76</v>
      </c>
      <c r="O28" s="49">
        <v>50</v>
      </c>
      <c r="Y28" s="44" t="s">
        <v>99</v>
      </c>
      <c r="Z28" s="47">
        <v>2</v>
      </c>
    </row>
    <row r="29" spans="14:26">
      <c r="N29" s="44" t="s">
        <v>97</v>
      </c>
      <c r="O29" s="49">
        <v>45</v>
      </c>
      <c r="Y29" s="44" t="s">
        <v>94</v>
      </c>
      <c r="Z29" s="47">
        <v>2</v>
      </c>
    </row>
    <row r="30" spans="14:26">
      <c r="N30" s="44" t="s">
        <v>100</v>
      </c>
      <c r="O30" s="49">
        <v>42</v>
      </c>
      <c r="Y30" s="44" t="s">
        <v>70</v>
      </c>
      <c r="Z30" s="47">
        <v>2</v>
      </c>
    </row>
    <row r="31" spans="14:26">
      <c r="N31" s="44" t="s">
        <v>52</v>
      </c>
      <c r="O31" s="49">
        <v>39</v>
      </c>
      <c r="Y31" s="44" t="s">
        <v>89</v>
      </c>
      <c r="Z31" s="47">
        <v>2</v>
      </c>
    </row>
    <row r="32" spans="14:26">
      <c r="N32" s="44" t="s">
        <v>99</v>
      </c>
      <c r="O32" s="49">
        <v>39</v>
      </c>
      <c r="Y32" s="44" t="s">
        <v>77</v>
      </c>
      <c r="Z32" s="47">
        <v>2</v>
      </c>
    </row>
    <row r="33" spans="14:26">
      <c r="N33" s="44" t="s">
        <v>72</v>
      </c>
      <c r="O33" s="49">
        <v>36</v>
      </c>
      <c r="Y33" s="44" t="s">
        <v>92</v>
      </c>
      <c r="Z33" s="47">
        <v>2</v>
      </c>
    </row>
    <row r="34" spans="14:26">
      <c r="N34" s="44" t="s">
        <v>94</v>
      </c>
      <c r="O34" s="49">
        <v>36</v>
      </c>
      <c r="Y34" s="44" t="s">
        <v>86</v>
      </c>
      <c r="Z34" s="47">
        <v>2</v>
      </c>
    </row>
    <row r="35" spans="14:26">
      <c r="N35" s="44" t="s">
        <v>92</v>
      </c>
      <c r="O35" s="49">
        <v>34</v>
      </c>
      <c r="Y35" s="44" t="s">
        <v>78</v>
      </c>
      <c r="Z35" s="47">
        <v>2</v>
      </c>
    </row>
    <row r="36" spans="14:26">
      <c r="N36" s="44" t="s">
        <v>35</v>
      </c>
      <c r="O36" s="49">
        <v>33</v>
      </c>
      <c r="Y36" s="44" t="s">
        <v>40</v>
      </c>
      <c r="Z36" s="47">
        <v>2</v>
      </c>
    </row>
    <row r="37" spans="14:26">
      <c r="N37" s="44" t="s">
        <v>87</v>
      </c>
      <c r="O37" s="49">
        <v>32</v>
      </c>
      <c r="Y37" s="44" t="s">
        <v>88</v>
      </c>
      <c r="Z37" s="47">
        <v>2</v>
      </c>
    </row>
    <row r="38" spans="14:26">
      <c r="N38" s="44" t="s">
        <v>98</v>
      </c>
      <c r="O38" s="49">
        <v>28</v>
      </c>
      <c r="Y38" s="44" t="s">
        <v>101</v>
      </c>
      <c r="Z38" s="47">
        <v>2</v>
      </c>
    </row>
    <row r="39" spans="14:26">
      <c r="N39" s="44" t="s">
        <v>36</v>
      </c>
      <c r="O39" s="49">
        <v>26</v>
      </c>
      <c r="Y39" s="44" t="s">
        <v>85</v>
      </c>
      <c r="Z39" s="47">
        <v>2</v>
      </c>
    </row>
    <row r="40" spans="14:26">
      <c r="N40" s="44" t="s">
        <v>93</v>
      </c>
      <c r="O40" s="49">
        <v>25</v>
      </c>
      <c r="Y40" s="44" t="s">
        <v>95</v>
      </c>
      <c r="Z40" s="47">
        <v>2</v>
      </c>
    </row>
    <row r="41" spans="14:26">
      <c r="N41" s="44" t="s">
        <v>70</v>
      </c>
      <c r="O41" s="49">
        <v>23</v>
      </c>
      <c r="Y41" s="44" t="s">
        <v>102</v>
      </c>
      <c r="Z41" s="47">
        <v>1</v>
      </c>
    </row>
    <row r="42" spans="14:26">
      <c r="N42" s="44" t="s">
        <v>104</v>
      </c>
      <c r="O42" s="49">
        <v>20</v>
      </c>
      <c r="Y42" s="44" t="s">
        <v>39</v>
      </c>
      <c r="Z42" s="47">
        <v>1</v>
      </c>
    </row>
    <row r="43" spans="14:26">
      <c r="N43" s="44" t="s">
        <v>77</v>
      </c>
      <c r="O43" s="49">
        <v>20</v>
      </c>
      <c r="Y43" s="44" t="s">
        <v>81</v>
      </c>
      <c r="Z43" s="47">
        <v>1</v>
      </c>
    </row>
    <row r="44" spans="14:26">
      <c r="N44" s="44" t="s">
        <v>74</v>
      </c>
      <c r="O44" s="49">
        <v>19</v>
      </c>
      <c r="Y44" s="44" t="s">
        <v>32</v>
      </c>
      <c r="Z44" s="47">
        <v>1</v>
      </c>
    </row>
    <row r="45" spans="14:26">
      <c r="N45" s="44" t="s">
        <v>91</v>
      </c>
      <c r="O45" s="49">
        <v>18</v>
      </c>
      <c r="Y45" s="44" t="s">
        <v>36</v>
      </c>
      <c r="Z45" s="47">
        <v>1</v>
      </c>
    </row>
    <row r="46" spans="14:26">
      <c r="N46" s="44" t="s">
        <v>89</v>
      </c>
      <c r="O46" s="49">
        <v>17</v>
      </c>
      <c r="Y46" s="44" t="s">
        <v>72</v>
      </c>
      <c r="Z46" s="47">
        <v>1</v>
      </c>
    </row>
    <row r="47" spans="14:26">
      <c r="N47" s="44" t="s">
        <v>101</v>
      </c>
      <c r="O47" s="49">
        <v>16.200000000000003</v>
      </c>
      <c r="Y47" s="44" t="s">
        <v>69</v>
      </c>
      <c r="Z47" s="47">
        <v>1</v>
      </c>
    </row>
    <row r="48" spans="14:26">
      <c r="N48" s="44" t="s">
        <v>73</v>
      </c>
      <c r="O48" s="49">
        <v>16.200000000000003</v>
      </c>
      <c r="Y48" s="44" t="s">
        <v>74</v>
      </c>
      <c r="Z48" s="47">
        <v>1</v>
      </c>
    </row>
    <row r="49" spans="14:26">
      <c r="N49" s="44" t="s">
        <v>103</v>
      </c>
      <c r="O49" s="49">
        <v>15.599999999999998</v>
      </c>
      <c r="Y49" s="44" t="s">
        <v>98</v>
      </c>
      <c r="Z49" s="47">
        <v>1</v>
      </c>
    </row>
    <row r="50" spans="14:26">
      <c r="N50" s="44" t="s">
        <v>83</v>
      </c>
      <c r="O50" s="49">
        <v>14.000000000000007</v>
      </c>
      <c r="Y50" s="44" t="s">
        <v>96</v>
      </c>
      <c r="Z50" s="47">
        <v>1</v>
      </c>
    </row>
    <row r="51" spans="14:26">
      <c r="N51" s="44" t="s">
        <v>88</v>
      </c>
      <c r="O51" s="49">
        <v>14</v>
      </c>
      <c r="Y51" s="44" t="s">
        <v>100</v>
      </c>
      <c r="Z51" s="47">
        <v>1</v>
      </c>
    </row>
    <row r="52" spans="14:26">
      <c r="N52" s="44" t="s">
        <v>32</v>
      </c>
      <c r="O52" s="49">
        <v>12.5</v>
      </c>
      <c r="Y52" s="44" t="s">
        <v>91</v>
      </c>
      <c r="Z52" s="47">
        <v>1</v>
      </c>
    </row>
    <row r="53" spans="14:26">
      <c r="N53" s="44" t="s">
        <v>53</v>
      </c>
      <c r="O53" s="49">
        <v>12</v>
      </c>
      <c r="Y53" s="44" t="s">
        <v>71</v>
      </c>
      <c r="Z53" s="47">
        <v>1</v>
      </c>
    </row>
    <row r="54" spans="14:26">
      <c r="N54" s="44" t="s">
        <v>71</v>
      </c>
      <c r="O54" s="49">
        <v>9</v>
      </c>
      <c r="Y54" s="44" t="s">
        <v>97</v>
      </c>
      <c r="Z54" s="47">
        <v>1</v>
      </c>
    </row>
    <row r="55" spans="14:26">
      <c r="N55" s="44" t="s">
        <v>163</v>
      </c>
      <c r="O55" s="49">
        <v>3083.3999999999996</v>
      </c>
      <c r="Y55" s="44" t="s">
        <v>163</v>
      </c>
      <c r="Z55" s="47">
        <v>237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A182-B5D6-4A72-B1D3-2B69F3CF3514}">
  <dimension ref="B2:C125"/>
  <sheetViews>
    <sheetView workbookViewId="0">
      <selection activeCell="B2" sqref="B2"/>
    </sheetView>
  </sheetViews>
  <sheetFormatPr defaultRowHeight="15"/>
  <cols>
    <col min="2" max="2" width="11.7109375" bestFit="1" customWidth="1"/>
    <col min="3" max="3" width="11.140625" bestFit="1" customWidth="1"/>
  </cols>
  <sheetData>
    <row r="2" spans="2:3">
      <c r="B2" s="43" t="s">
        <v>23</v>
      </c>
      <c r="C2" s="44" t="s">
        <v>165</v>
      </c>
    </row>
    <row r="3" spans="2:3">
      <c r="B3" s="8"/>
      <c r="C3" s="8"/>
    </row>
    <row r="4" spans="2:3">
      <c r="B4" s="43" t="s">
        <v>16</v>
      </c>
      <c r="C4" s="44" t="s">
        <v>160</v>
      </c>
    </row>
    <row r="5" spans="2:3">
      <c r="B5" s="48">
        <v>46251</v>
      </c>
      <c r="C5" s="49">
        <v>552.5</v>
      </c>
    </row>
    <row r="6" spans="2:3">
      <c r="B6" s="48">
        <v>46252</v>
      </c>
      <c r="C6" s="49">
        <v>494</v>
      </c>
    </row>
    <row r="7" spans="2:3">
      <c r="B7" s="48">
        <v>46253</v>
      </c>
      <c r="C7" s="49">
        <v>377.5</v>
      </c>
    </row>
    <row r="8" spans="2:3">
      <c r="B8" s="48">
        <v>46254</v>
      </c>
      <c r="C8" s="49">
        <v>855</v>
      </c>
    </row>
    <row r="9" spans="2:3">
      <c r="B9" s="48">
        <v>46255</v>
      </c>
      <c r="C9" s="49">
        <v>452.4</v>
      </c>
    </row>
    <row r="10" spans="2:3">
      <c r="B10" s="48">
        <v>46256</v>
      </c>
      <c r="C10" s="49">
        <v>903</v>
      </c>
    </row>
    <row r="11" spans="2:3">
      <c r="B11" s="48">
        <v>46257</v>
      </c>
      <c r="C11" s="49">
        <v>415</v>
      </c>
    </row>
    <row r="12" spans="2:3">
      <c r="B12" s="48" t="s">
        <v>163</v>
      </c>
      <c r="C12" s="49">
        <v>4049.4</v>
      </c>
    </row>
    <row r="22" spans="2:3">
      <c r="B22" s="43" t="s">
        <v>23</v>
      </c>
      <c r="C22" s="44" t="s">
        <v>165</v>
      </c>
    </row>
    <row r="24" spans="2:3">
      <c r="B24" s="43" t="s">
        <v>17</v>
      </c>
      <c r="C24" s="44" t="s">
        <v>161</v>
      </c>
    </row>
    <row r="25" spans="2:3">
      <c r="B25" s="44" t="s">
        <v>119</v>
      </c>
      <c r="C25" s="49">
        <v>270</v>
      </c>
    </row>
    <row r="26" spans="2:3">
      <c r="B26" s="44" t="s">
        <v>112</v>
      </c>
      <c r="C26" s="49">
        <v>255</v>
      </c>
    </row>
    <row r="27" spans="2:3">
      <c r="B27" s="44" t="s">
        <v>48</v>
      </c>
      <c r="C27" s="49">
        <v>250</v>
      </c>
    </row>
    <row r="28" spans="2:3">
      <c r="B28" s="44" t="s">
        <v>31</v>
      </c>
      <c r="C28" s="49">
        <v>220</v>
      </c>
    </row>
    <row r="29" spans="2:3">
      <c r="B29" s="44" t="s">
        <v>75</v>
      </c>
      <c r="C29" s="49">
        <v>220</v>
      </c>
    </row>
    <row r="30" spans="2:3">
      <c r="B30" s="44" t="s">
        <v>120</v>
      </c>
      <c r="C30" s="49">
        <v>210</v>
      </c>
    </row>
    <row r="31" spans="2:3">
      <c r="B31" s="44" t="s">
        <v>33</v>
      </c>
      <c r="C31" s="49">
        <v>208</v>
      </c>
    </row>
    <row r="32" spans="2:3">
      <c r="B32" s="44" t="s">
        <v>108</v>
      </c>
      <c r="C32" s="49">
        <v>200</v>
      </c>
    </row>
    <row r="33" spans="2:3">
      <c r="B33" s="44" t="s">
        <v>113</v>
      </c>
      <c r="C33" s="49">
        <v>170</v>
      </c>
    </row>
    <row r="34" spans="2:3">
      <c r="B34" s="44" t="s">
        <v>40</v>
      </c>
      <c r="C34" s="49">
        <v>168</v>
      </c>
    </row>
    <row r="35" spans="2:3">
      <c r="B35" s="44" t="s">
        <v>35</v>
      </c>
      <c r="C35" s="49">
        <v>168</v>
      </c>
    </row>
    <row r="36" spans="2:3">
      <c r="B36" s="44" t="s">
        <v>96</v>
      </c>
      <c r="C36" s="49">
        <v>150</v>
      </c>
    </row>
    <row r="37" spans="2:3">
      <c r="B37" s="44" t="s">
        <v>115</v>
      </c>
      <c r="C37" s="49">
        <v>130</v>
      </c>
    </row>
    <row r="38" spans="2:3">
      <c r="B38" s="44" t="s">
        <v>114</v>
      </c>
      <c r="C38" s="49">
        <v>130</v>
      </c>
    </row>
    <row r="39" spans="2:3">
      <c r="B39" s="44" t="s">
        <v>56</v>
      </c>
      <c r="C39" s="49">
        <v>128</v>
      </c>
    </row>
    <row r="40" spans="2:3">
      <c r="B40" s="44" t="s">
        <v>109</v>
      </c>
      <c r="C40" s="49">
        <v>107</v>
      </c>
    </row>
    <row r="41" spans="2:3">
      <c r="B41" s="44" t="s">
        <v>70</v>
      </c>
      <c r="C41" s="49">
        <v>93</v>
      </c>
    </row>
    <row r="42" spans="2:3">
      <c r="B42" s="44" t="s">
        <v>78</v>
      </c>
      <c r="C42" s="49">
        <v>85</v>
      </c>
    </row>
    <row r="43" spans="2:3">
      <c r="B43" s="44" t="s">
        <v>118</v>
      </c>
      <c r="C43" s="49">
        <v>84</v>
      </c>
    </row>
    <row r="44" spans="2:3">
      <c r="B44" s="44" t="s">
        <v>50</v>
      </c>
      <c r="C44" s="49">
        <v>72</v>
      </c>
    </row>
    <row r="45" spans="2:3">
      <c r="B45" s="44" t="s">
        <v>117</v>
      </c>
      <c r="C45" s="49">
        <v>63</v>
      </c>
    </row>
    <row r="46" spans="2:3">
      <c r="B46" s="44" t="s">
        <v>121</v>
      </c>
      <c r="C46" s="49">
        <v>60</v>
      </c>
    </row>
    <row r="47" spans="2:3">
      <c r="B47" s="44" t="s">
        <v>94</v>
      </c>
      <c r="C47" s="49">
        <v>48</v>
      </c>
    </row>
    <row r="48" spans="2:3">
      <c r="B48" s="44" t="s">
        <v>116</v>
      </c>
      <c r="C48" s="49">
        <v>48</v>
      </c>
    </row>
    <row r="49" spans="2:3">
      <c r="B49" s="44" t="s">
        <v>97</v>
      </c>
      <c r="C49" s="49">
        <v>45</v>
      </c>
    </row>
    <row r="50" spans="2:3">
      <c r="B50" s="44" t="s">
        <v>105</v>
      </c>
      <c r="C50" s="49">
        <v>42</v>
      </c>
    </row>
    <row r="51" spans="2:3">
      <c r="B51" s="44" t="s">
        <v>83</v>
      </c>
      <c r="C51" s="49">
        <v>40</v>
      </c>
    </row>
    <row r="52" spans="2:3">
      <c r="B52" s="44" t="s">
        <v>106</v>
      </c>
      <c r="C52" s="49">
        <v>38</v>
      </c>
    </row>
    <row r="53" spans="2:3">
      <c r="B53" s="44" t="s">
        <v>34</v>
      </c>
      <c r="C53" s="49">
        <v>36</v>
      </c>
    </row>
    <row r="54" spans="2:3">
      <c r="B54" s="44" t="s">
        <v>44</v>
      </c>
      <c r="C54" s="49">
        <v>35</v>
      </c>
    </row>
    <row r="55" spans="2:3">
      <c r="B55" s="44" t="s">
        <v>87</v>
      </c>
      <c r="C55" s="49">
        <v>33</v>
      </c>
    </row>
    <row r="56" spans="2:3">
      <c r="B56" s="44" t="s">
        <v>85</v>
      </c>
      <c r="C56" s="49">
        <v>30</v>
      </c>
    </row>
    <row r="57" spans="2:3">
      <c r="B57" s="44" t="s">
        <v>98</v>
      </c>
      <c r="C57" s="49">
        <v>28</v>
      </c>
    </row>
    <row r="58" spans="2:3">
      <c r="B58" s="44" t="s">
        <v>95</v>
      </c>
      <c r="C58" s="49">
        <v>28</v>
      </c>
    </row>
    <row r="59" spans="2:3">
      <c r="B59" s="44" t="s">
        <v>76</v>
      </c>
      <c r="C59" s="49">
        <v>25</v>
      </c>
    </row>
    <row r="60" spans="2:3">
      <c r="B60" s="44" t="s">
        <v>111</v>
      </c>
      <c r="C60" s="49">
        <v>24</v>
      </c>
    </row>
    <row r="61" spans="2:3">
      <c r="B61" s="44" t="s">
        <v>110</v>
      </c>
      <c r="C61" s="49">
        <v>22</v>
      </c>
    </row>
    <row r="62" spans="2:3">
      <c r="B62" s="44" t="s">
        <v>46</v>
      </c>
      <c r="C62" s="49">
        <v>18</v>
      </c>
    </row>
    <row r="63" spans="2:3">
      <c r="B63" s="44" t="s">
        <v>49</v>
      </c>
      <c r="C63" s="49">
        <v>18</v>
      </c>
    </row>
    <row r="64" spans="2:3">
      <c r="B64" s="44" t="s">
        <v>122</v>
      </c>
      <c r="C64" s="49">
        <v>15</v>
      </c>
    </row>
    <row r="65" spans="2:3">
      <c r="B65" s="44" t="s">
        <v>37</v>
      </c>
      <c r="C65" s="49">
        <v>14</v>
      </c>
    </row>
    <row r="66" spans="2:3">
      <c r="B66" s="44" t="s">
        <v>107</v>
      </c>
      <c r="C66" s="49">
        <v>9</v>
      </c>
    </row>
    <row r="67" spans="2:3">
      <c r="B67" s="44" t="s">
        <v>51</v>
      </c>
      <c r="C67" s="49">
        <v>7</v>
      </c>
    </row>
    <row r="68" spans="2:3">
      <c r="B68" s="44" t="s">
        <v>58</v>
      </c>
      <c r="C68" s="49">
        <v>5.4000000000000021</v>
      </c>
    </row>
    <row r="69" spans="2:3">
      <c r="B69" s="44" t="s">
        <v>163</v>
      </c>
      <c r="C69" s="49">
        <v>4049.4</v>
      </c>
    </row>
    <row r="78" spans="2:3">
      <c r="B78" s="43" t="s">
        <v>23</v>
      </c>
      <c r="C78" s="44" t="s">
        <v>165</v>
      </c>
    </row>
    <row r="80" spans="2:3">
      <c r="B80" s="43" t="s">
        <v>17</v>
      </c>
      <c r="C80" s="44" t="s">
        <v>166</v>
      </c>
    </row>
    <row r="81" spans="2:3">
      <c r="B81" s="44" t="s">
        <v>83</v>
      </c>
      <c r="C81" s="47">
        <v>20</v>
      </c>
    </row>
    <row r="82" spans="2:3">
      <c r="B82" s="44" t="s">
        <v>118</v>
      </c>
      <c r="C82" s="47">
        <v>12</v>
      </c>
    </row>
    <row r="83" spans="2:3">
      <c r="B83" s="44" t="s">
        <v>105</v>
      </c>
      <c r="C83" s="47">
        <v>12</v>
      </c>
    </row>
    <row r="84" spans="2:3">
      <c r="B84" s="44" t="s">
        <v>75</v>
      </c>
      <c r="C84" s="47">
        <v>12</v>
      </c>
    </row>
    <row r="85" spans="2:3">
      <c r="B85" s="44" t="s">
        <v>114</v>
      </c>
      <c r="C85" s="47">
        <v>10</v>
      </c>
    </row>
    <row r="86" spans="2:3">
      <c r="B86" s="44" t="s">
        <v>44</v>
      </c>
      <c r="C86" s="47">
        <v>10</v>
      </c>
    </row>
    <row r="87" spans="2:3">
      <c r="B87" s="44" t="s">
        <v>31</v>
      </c>
      <c r="C87" s="47">
        <v>10</v>
      </c>
    </row>
    <row r="88" spans="2:3">
      <c r="B88" s="44" t="s">
        <v>76</v>
      </c>
      <c r="C88" s="47">
        <v>10</v>
      </c>
    </row>
    <row r="89" spans="2:3">
      <c r="B89" s="44" t="s">
        <v>35</v>
      </c>
      <c r="C89" s="47">
        <v>8</v>
      </c>
    </row>
    <row r="90" spans="2:3">
      <c r="B90" s="44" t="s">
        <v>33</v>
      </c>
      <c r="C90" s="47">
        <v>8</v>
      </c>
    </row>
    <row r="91" spans="2:3">
      <c r="B91" s="44" t="s">
        <v>40</v>
      </c>
      <c r="C91" s="47">
        <v>6</v>
      </c>
    </row>
    <row r="92" spans="2:3">
      <c r="B92" s="44" t="s">
        <v>58</v>
      </c>
      <c r="C92" s="47">
        <v>6</v>
      </c>
    </row>
    <row r="93" spans="2:3">
      <c r="B93" s="44" t="s">
        <v>70</v>
      </c>
      <c r="C93" s="47">
        <v>6</v>
      </c>
    </row>
    <row r="94" spans="2:3">
      <c r="B94" s="44" t="s">
        <v>113</v>
      </c>
      <c r="C94" s="47">
        <v>5</v>
      </c>
    </row>
    <row r="95" spans="2:3">
      <c r="B95" s="44" t="s">
        <v>94</v>
      </c>
      <c r="C95" s="47">
        <v>4</v>
      </c>
    </row>
    <row r="96" spans="2:3">
      <c r="B96" s="44" t="s">
        <v>112</v>
      </c>
      <c r="C96" s="47">
        <v>3</v>
      </c>
    </row>
    <row r="97" spans="2:3">
      <c r="B97" s="44" t="s">
        <v>78</v>
      </c>
      <c r="C97" s="47">
        <v>3</v>
      </c>
    </row>
    <row r="98" spans="2:3">
      <c r="B98" s="44" t="s">
        <v>34</v>
      </c>
      <c r="C98" s="47">
        <v>3</v>
      </c>
    </row>
    <row r="99" spans="2:3">
      <c r="B99" s="44" t="s">
        <v>117</v>
      </c>
      <c r="C99" s="47">
        <v>3</v>
      </c>
    </row>
    <row r="100" spans="2:3">
      <c r="B100" s="44" t="s">
        <v>116</v>
      </c>
      <c r="C100" s="47">
        <v>3</v>
      </c>
    </row>
    <row r="101" spans="2:3">
      <c r="B101" s="44" t="s">
        <v>119</v>
      </c>
      <c r="C101" s="47">
        <v>3</v>
      </c>
    </row>
    <row r="102" spans="2:3">
      <c r="B102" s="44" t="s">
        <v>37</v>
      </c>
      <c r="C102" s="47">
        <v>2</v>
      </c>
    </row>
    <row r="103" spans="2:3">
      <c r="B103" s="44" t="s">
        <v>50</v>
      </c>
      <c r="C103" s="47">
        <v>2</v>
      </c>
    </row>
    <row r="104" spans="2:3">
      <c r="B104" s="44" t="s">
        <v>109</v>
      </c>
      <c r="C104" s="47">
        <v>2</v>
      </c>
    </row>
    <row r="105" spans="2:3">
      <c r="B105" s="44" t="s">
        <v>87</v>
      </c>
      <c r="C105" s="47">
        <v>2</v>
      </c>
    </row>
    <row r="106" spans="2:3">
      <c r="B106" s="44" t="s">
        <v>97</v>
      </c>
      <c r="C106" s="47">
        <v>1</v>
      </c>
    </row>
    <row r="107" spans="2:3">
      <c r="B107" s="44" t="s">
        <v>106</v>
      </c>
      <c r="C107" s="47">
        <v>1</v>
      </c>
    </row>
    <row r="108" spans="2:3">
      <c r="B108" s="44" t="s">
        <v>121</v>
      </c>
      <c r="C108" s="47">
        <v>1</v>
      </c>
    </row>
    <row r="109" spans="2:3">
      <c r="B109" s="44" t="s">
        <v>98</v>
      </c>
      <c r="C109" s="47">
        <v>1</v>
      </c>
    </row>
    <row r="110" spans="2:3">
      <c r="B110" s="44" t="s">
        <v>122</v>
      </c>
      <c r="C110" s="47">
        <v>1</v>
      </c>
    </row>
    <row r="111" spans="2:3">
      <c r="B111" s="44" t="s">
        <v>107</v>
      </c>
      <c r="C111" s="47">
        <v>1</v>
      </c>
    </row>
    <row r="112" spans="2:3">
      <c r="B112" s="44" t="s">
        <v>96</v>
      </c>
      <c r="C112" s="47">
        <v>1</v>
      </c>
    </row>
    <row r="113" spans="2:3">
      <c r="B113" s="44" t="s">
        <v>51</v>
      </c>
      <c r="C113" s="47">
        <v>1</v>
      </c>
    </row>
    <row r="114" spans="2:3">
      <c r="B114" s="44" t="s">
        <v>85</v>
      </c>
      <c r="C114" s="47">
        <v>1</v>
      </c>
    </row>
    <row r="115" spans="2:3">
      <c r="B115" s="44" t="s">
        <v>111</v>
      </c>
      <c r="C115" s="47">
        <v>1</v>
      </c>
    </row>
    <row r="116" spans="2:3">
      <c r="B116" s="44" t="s">
        <v>48</v>
      </c>
      <c r="C116" s="47">
        <v>1</v>
      </c>
    </row>
    <row r="117" spans="2:3">
      <c r="B117" s="44" t="s">
        <v>56</v>
      </c>
      <c r="C117" s="47">
        <v>1</v>
      </c>
    </row>
    <row r="118" spans="2:3">
      <c r="B118" s="44" t="s">
        <v>108</v>
      </c>
      <c r="C118" s="47">
        <v>1</v>
      </c>
    </row>
    <row r="119" spans="2:3">
      <c r="B119" s="44" t="s">
        <v>115</v>
      </c>
      <c r="C119" s="47">
        <v>1</v>
      </c>
    </row>
    <row r="120" spans="2:3">
      <c r="B120" s="44" t="s">
        <v>110</v>
      </c>
      <c r="C120" s="47">
        <v>1</v>
      </c>
    </row>
    <row r="121" spans="2:3">
      <c r="B121" s="44" t="s">
        <v>49</v>
      </c>
      <c r="C121" s="47">
        <v>1</v>
      </c>
    </row>
    <row r="122" spans="2:3">
      <c r="B122" s="44" t="s">
        <v>120</v>
      </c>
      <c r="C122" s="47">
        <v>1</v>
      </c>
    </row>
    <row r="123" spans="2:3">
      <c r="B123" s="44" t="s">
        <v>46</v>
      </c>
      <c r="C123" s="47">
        <v>1</v>
      </c>
    </row>
    <row r="124" spans="2:3">
      <c r="B124" s="44" t="s">
        <v>95</v>
      </c>
      <c r="C124" s="47">
        <v>1</v>
      </c>
    </row>
    <row r="125" spans="2:3">
      <c r="B125" s="44" t="s">
        <v>163</v>
      </c>
      <c r="C125" s="47">
        <v>184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3CF8-4319-4AB9-A599-C9ACDA9669B7}">
  <dimension ref="B2:C138"/>
  <sheetViews>
    <sheetView workbookViewId="0">
      <selection activeCell="D8" sqref="D8"/>
    </sheetView>
  </sheetViews>
  <sheetFormatPr defaultRowHeight="15"/>
  <cols>
    <col min="2" max="2" width="11.7109375" bestFit="1" customWidth="1"/>
    <col min="3" max="3" width="11.140625" bestFit="1" customWidth="1"/>
    <col min="4" max="4" width="9.85546875" bestFit="1" customWidth="1"/>
    <col min="5" max="5" width="11.5703125" bestFit="1" customWidth="1"/>
    <col min="6" max="9" width="9.85546875" bestFit="1" customWidth="1"/>
    <col min="10" max="10" width="11.7109375" bestFit="1" customWidth="1"/>
  </cols>
  <sheetData>
    <row r="2" spans="2:3">
      <c r="B2" s="43" t="s">
        <v>23</v>
      </c>
      <c r="C2" s="44" t="s">
        <v>167</v>
      </c>
    </row>
    <row r="4" spans="2:3">
      <c r="B4" s="43" t="s">
        <v>16</v>
      </c>
      <c r="C4" s="44" t="s">
        <v>160</v>
      </c>
    </row>
    <row r="5" spans="2:3">
      <c r="B5" s="48">
        <v>46258</v>
      </c>
      <c r="C5" s="49">
        <v>260.60000000000002</v>
      </c>
    </row>
    <row r="6" spans="2:3">
      <c r="B6" s="48">
        <v>46259</v>
      </c>
      <c r="C6" s="49">
        <v>795.8</v>
      </c>
    </row>
    <row r="7" spans="2:3">
      <c r="B7" s="48">
        <v>46260</v>
      </c>
      <c r="C7" s="49">
        <v>957</v>
      </c>
    </row>
    <row r="8" spans="2:3">
      <c r="B8" s="48">
        <v>46261</v>
      </c>
      <c r="C8" s="49">
        <v>192.5</v>
      </c>
    </row>
    <row r="9" spans="2:3">
      <c r="B9" s="48">
        <v>46262</v>
      </c>
      <c r="C9" s="49">
        <v>394</v>
      </c>
    </row>
    <row r="10" spans="2:3">
      <c r="B10" s="48">
        <v>46263</v>
      </c>
      <c r="C10" s="49">
        <v>936.5</v>
      </c>
    </row>
    <row r="11" spans="2:3">
      <c r="B11" s="48">
        <v>46264</v>
      </c>
      <c r="C11" s="49">
        <v>671.4</v>
      </c>
    </row>
    <row r="12" spans="2:3">
      <c r="B12" s="48" t="s">
        <v>163</v>
      </c>
      <c r="C12" s="49">
        <v>4207.8</v>
      </c>
    </row>
    <row r="23" spans="2:3">
      <c r="B23" s="43" t="s">
        <v>23</v>
      </c>
      <c r="C23" s="44" t="s">
        <v>167</v>
      </c>
    </row>
    <row r="25" spans="2:3">
      <c r="B25" s="43" t="s">
        <v>17</v>
      </c>
      <c r="C25" s="44" t="s">
        <v>161</v>
      </c>
    </row>
    <row r="26" spans="2:3">
      <c r="B26" s="44" t="s">
        <v>129</v>
      </c>
      <c r="C26" s="49">
        <v>450</v>
      </c>
    </row>
    <row r="27" spans="2:3">
      <c r="B27" s="44" t="s">
        <v>75</v>
      </c>
      <c r="C27" s="49">
        <v>377</v>
      </c>
    </row>
    <row r="28" spans="2:3">
      <c r="B28" s="44" t="s">
        <v>102</v>
      </c>
      <c r="C28" s="49">
        <v>274</v>
      </c>
    </row>
    <row r="29" spans="2:3">
      <c r="B29" s="44" t="s">
        <v>24</v>
      </c>
      <c r="C29" s="49">
        <v>255</v>
      </c>
    </row>
    <row r="30" spans="2:3">
      <c r="B30" s="44" t="s">
        <v>92</v>
      </c>
      <c r="C30" s="49">
        <v>200</v>
      </c>
    </row>
    <row r="31" spans="2:3">
      <c r="B31" s="44" t="s">
        <v>99</v>
      </c>
      <c r="C31" s="49">
        <v>194</v>
      </c>
    </row>
    <row r="32" spans="2:3">
      <c r="B32" s="44" t="s">
        <v>123</v>
      </c>
      <c r="C32" s="49">
        <v>190</v>
      </c>
    </row>
    <row r="33" spans="2:3">
      <c r="B33" s="44" t="s">
        <v>137</v>
      </c>
      <c r="C33" s="49">
        <v>186</v>
      </c>
    </row>
    <row r="34" spans="2:3">
      <c r="B34" s="44" t="s">
        <v>40</v>
      </c>
      <c r="C34" s="49">
        <v>168</v>
      </c>
    </row>
    <row r="35" spans="2:3">
      <c r="B35" s="44" t="s">
        <v>33</v>
      </c>
      <c r="C35" s="49">
        <v>141</v>
      </c>
    </row>
    <row r="36" spans="2:3">
      <c r="B36" s="44" t="s">
        <v>139</v>
      </c>
      <c r="C36" s="49">
        <v>138</v>
      </c>
    </row>
    <row r="37" spans="2:3">
      <c r="B37" s="44" t="s">
        <v>52</v>
      </c>
      <c r="C37" s="49">
        <v>128</v>
      </c>
    </row>
    <row r="38" spans="2:3">
      <c r="B38" s="44" t="s">
        <v>35</v>
      </c>
      <c r="C38" s="49">
        <v>126</v>
      </c>
    </row>
    <row r="39" spans="2:3">
      <c r="B39" s="44" t="s">
        <v>84</v>
      </c>
      <c r="C39" s="49">
        <v>110</v>
      </c>
    </row>
    <row r="40" spans="2:3">
      <c r="B40" s="44" t="s">
        <v>138</v>
      </c>
      <c r="C40" s="49">
        <v>100</v>
      </c>
    </row>
    <row r="41" spans="2:3">
      <c r="B41" s="44" t="s">
        <v>130</v>
      </c>
      <c r="C41" s="49">
        <v>84.999999999999972</v>
      </c>
    </row>
    <row r="42" spans="2:3">
      <c r="B42" s="44" t="s">
        <v>36</v>
      </c>
      <c r="C42" s="49">
        <v>78</v>
      </c>
    </row>
    <row r="43" spans="2:3">
      <c r="B43" s="44" t="s">
        <v>31</v>
      </c>
      <c r="C43" s="49">
        <v>72</v>
      </c>
    </row>
    <row r="44" spans="2:3">
      <c r="B44" s="44" t="s">
        <v>141</v>
      </c>
      <c r="C44" s="49">
        <v>72</v>
      </c>
    </row>
    <row r="45" spans="2:3">
      <c r="B45" s="44" t="s">
        <v>93</v>
      </c>
      <c r="C45" s="49">
        <v>72</v>
      </c>
    </row>
    <row r="46" spans="2:3">
      <c r="B46" s="44" t="s">
        <v>106</v>
      </c>
      <c r="C46" s="49">
        <v>72</v>
      </c>
    </row>
    <row r="47" spans="2:3">
      <c r="B47" s="44" t="s">
        <v>132</v>
      </c>
      <c r="C47" s="49">
        <v>64</v>
      </c>
    </row>
    <row r="48" spans="2:3">
      <c r="B48" s="44" t="s">
        <v>58</v>
      </c>
      <c r="C48" s="49">
        <v>60</v>
      </c>
    </row>
    <row r="49" spans="2:3">
      <c r="B49" s="44" t="s">
        <v>69</v>
      </c>
      <c r="C49" s="49">
        <v>56</v>
      </c>
    </row>
    <row r="50" spans="2:3">
      <c r="B50" s="44" t="s">
        <v>76</v>
      </c>
      <c r="C50" s="49">
        <v>50</v>
      </c>
    </row>
    <row r="51" spans="2:3">
      <c r="B51" s="44" t="s">
        <v>127</v>
      </c>
      <c r="C51" s="49">
        <v>45</v>
      </c>
    </row>
    <row r="52" spans="2:3">
      <c r="B52" s="44" t="s">
        <v>142</v>
      </c>
      <c r="C52" s="49">
        <v>40</v>
      </c>
    </row>
    <row r="53" spans="2:3">
      <c r="B53" s="44" t="s">
        <v>105</v>
      </c>
      <c r="C53" s="49">
        <v>39.599999999999994</v>
      </c>
    </row>
    <row r="54" spans="2:3">
      <c r="B54" s="44" t="s">
        <v>53</v>
      </c>
      <c r="C54" s="49">
        <v>37.5</v>
      </c>
    </row>
    <row r="55" spans="2:3">
      <c r="B55" s="44" t="s">
        <v>125</v>
      </c>
      <c r="C55" s="49">
        <v>30</v>
      </c>
    </row>
    <row r="56" spans="2:3">
      <c r="B56" s="44" t="s">
        <v>126</v>
      </c>
      <c r="C56" s="49">
        <v>27</v>
      </c>
    </row>
    <row r="57" spans="2:3">
      <c r="B57" s="44" t="s">
        <v>133</v>
      </c>
      <c r="C57" s="49">
        <v>26</v>
      </c>
    </row>
    <row r="58" spans="2:3">
      <c r="B58" s="44" t="s">
        <v>131</v>
      </c>
      <c r="C58" s="49">
        <v>26</v>
      </c>
    </row>
    <row r="59" spans="2:3">
      <c r="B59" s="44" t="s">
        <v>128</v>
      </c>
      <c r="C59" s="49">
        <v>24</v>
      </c>
    </row>
    <row r="60" spans="2:3">
      <c r="B60" s="44" t="s">
        <v>140</v>
      </c>
      <c r="C60" s="49">
        <v>22</v>
      </c>
    </row>
    <row r="61" spans="2:3">
      <c r="B61" s="44" t="s">
        <v>124</v>
      </c>
      <c r="C61" s="49">
        <v>16</v>
      </c>
    </row>
    <row r="62" spans="2:3">
      <c r="B62" s="44" t="s">
        <v>134</v>
      </c>
      <c r="C62" s="49">
        <v>14</v>
      </c>
    </row>
    <row r="63" spans="2:3">
      <c r="B63" s="44" t="s">
        <v>51</v>
      </c>
      <c r="C63" s="49">
        <v>14</v>
      </c>
    </row>
    <row r="64" spans="2:3">
      <c r="B64" s="44" t="s">
        <v>136</v>
      </c>
      <c r="C64" s="49">
        <v>14</v>
      </c>
    </row>
    <row r="65" spans="2:3">
      <c r="B65" s="44" t="s">
        <v>94</v>
      </c>
      <c r="C65" s="49">
        <v>14</v>
      </c>
    </row>
    <row r="66" spans="2:3">
      <c r="B66" s="44" t="s">
        <v>54</v>
      </c>
      <c r="C66" s="49">
        <v>13</v>
      </c>
    </row>
    <row r="67" spans="2:3">
      <c r="B67" s="44" t="s">
        <v>49</v>
      </c>
      <c r="C67" s="49">
        <v>13</v>
      </c>
    </row>
    <row r="68" spans="2:3">
      <c r="B68" s="44" t="s">
        <v>37</v>
      </c>
      <c r="C68" s="49">
        <v>12</v>
      </c>
    </row>
    <row r="69" spans="2:3">
      <c r="B69" s="44" t="s">
        <v>28</v>
      </c>
      <c r="C69" s="49">
        <v>12</v>
      </c>
    </row>
    <row r="70" spans="2:3">
      <c r="B70" s="44" t="s">
        <v>41</v>
      </c>
      <c r="C70" s="49">
        <v>12</v>
      </c>
    </row>
    <row r="71" spans="2:3">
      <c r="B71" s="44" t="s">
        <v>111</v>
      </c>
      <c r="C71" s="49">
        <v>9</v>
      </c>
    </row>
    <row r="72" spans="2:3">
      <c r="B72" s="44" t="s">
        <v>135</v>
      </c>
      <c r="C72" s="49">
        <v>8</v>
      </c>
    </row>
    <row r="73" spans="2:3">
      <c r="B73" s="44" t="s">
        <v>103</v>
      </c>
      <c r="C73" s="49">
        <v>6.7999999999999972</v>
      </c>
    </row>
    <row r="74" spans="2:3">
      <c r="B74" s="44" t="s">
        <v>29</v>
      </c>
      <c r="C74" s="49">
        <v>6.4000000000000057</v>
      </c>
    </row>
    <row r="75" spans="2:3">
      <c r="B75" s="44" t="s">
        <v>38</v>
      </c>
      <c r="C75" s="49">
        <v>4.5000000000000018</v>
      </c>
    </row>
    <row r="76" spans="2:3">
      <c r="B76" s="44" t="s">
        <v>89</v>
      </c>
      <c r="C76" s="49">
        <v>4</v>
      </c>
    </row>
    <row r="77" spans="2:3">
      <c r="B77" s="44" t="s">
        <v>163</v>
      </c>
      <c r="C77" s="49">
        <v>4207.8</v>
      </c>
    </row>
    <row r="84" spans="2:3">
      <c r="B84" s="43" t="s">
        <v>23</v>
      </c>
      <c r="C84" s="44" t="s">
        <v>167</v>
      </c>
    </row>
    <row r="86" spans="2:3">
      <c r="B86" s="43" t="s">
        <v>17</v>
      </c>
      <c r="C86" s="44" t="s">
        <v>162</v>
      </c>
    </row>
    <row r="87" spans="2:3">
      <c r="B87" s="44" t="s">
        <v>130</v>
      </c>
      <c r="C87" s="47">
        <v>50</v>
      </c>
    </row>
    <row r="88" spans="2:3">
      <c r="B88" s="44" t="s">
        <v>75</v>
      </c>
      <c r="C88" s="47">
        <v>33</v>
      </c>
    </row>
    <row r="89" spans="2:3">
      <c r="B89" s="44" t="s">
        <v>52</v>
      </c>
      <c r="C89" s="47">
        <v>32</v>
      </c>
    </row>
    <row r="90" spans="2:3">
      <c r="B90" s="44" t="s">
        <v>105</v>
      </c>
      <c r="C90" s="47">
        <v>26</v>
      </c>
    </row>
    <row r="91" spans="2:3">
      <c r="B91" s="44" t="s">
        <v>84</v>
      </c>
      <c r="C91" s="47">
        <v>20</v>
      </c>
    </row>
    <row r="92" spans="2:3">
      <c r="B92" s="44" t="s">
        <v>76</v>
      </c>
      <c r="C92" s="47">
        <v>20</v>
      </c>
    </row>
    <row r="93" spans="2:3">
      <c r="B93" s="44" t="s">
        <v>53</v>
      </c>
      <c r="C93" s="47">
        <v>15</v>
      </c>
    </row>
    <row r="94" spans="2:3">
      <c r="B94" s="44" t="s">
        <v>24</v>
      </c>
      <c r="C94" s="47">
        <v>15</v>
      </c>
    </row>
    <row r="95" spans="2:3">
      <c r="B95" s="44" t="s">
        <v>125</v>
      </c>
      <c r="C95" s="47">
        <v>12</v>
      </c>
    </row>
    <row r="96" spans="2:3">
      <c r="B96" s="44" t="s">
        <v>128</v>
      </c>
      <c r="C96" s="47">
        <v>12</v>
      </c>
    </row>
    <row r="97" spans="2:3">
      <c r="B97" s="44" t="s">
        <v>99</v>
      </c>
      <c r="C97" s="47">
        <v>9</v>
      </c>
    </row>
    <row r="98" spans="2:3">
      <c r="B98" s="44" t="s">
        <v>29</v>
      </c>
      <c r="C98" s="47">
        <v>8</v>
      </c>
    </row>
    <row r="99" spans="2:3">
      <c r="B99" s="44" t="s">
        <v>92</v>
      </c>
      <c r="C99" s="47">
        <v>8</v>
      </c>
    </row>
    <row r="100" spans="2:3">
      <c r="B100" s="44" t="s">
        <v>93</v>
      </c>
      <c r="C100" s="47">
        <v>8</v>
      </c>
    </row>
    <row r="101" spans="2:3">
      <c r="B101" s="44" t="s">
        <v>40</v>
      </c>
      <c r="C101" s="47">
        <v>6</v>
      </c>
    </row>
    <row r="102" spans="2:3">
      <c r="B102" s="44" t="s">
        <v>137</v>
      </c>
      <c r="C102" s="47">
        <v>6</v>
      </c>
    </row>
    <row r="103" spans="2:3">
      <c r="B103" s="44" t="s">
        <v>35</v>
      </c>
      <c r="C103" s="47">
        <v>6</v>
      </c>
    </row>
    <row r="104" spans="2:3">
      <c r="B104" s="44" t="s">
        <v>38</v>
      </c>
      <c r="C104" s="47">
        <v>5</v>
      </c>
    </row>
    <row r="105" spans="2:3">
      <c r="B105" s="44" t="s">
        <v>103</v>
      </c>
      <c r="C105" s="47">
        <v>4</v>
      </c>
    </row>
    <row r="106" spans="2:3">
      <c r="B106" s="44" t="s">
        <v>124</v>
      </c>
      <c r="C106" s="47">
        <v>4</v>
      </c>
    </row>
    <row r="107" spans="2:3">
      <c r="B107" s="44" t="s">
        <v>89</v>
      </c>
      <c r="C107" s="47">
        <v>4</v>
      </c>
    </row>
    <row r="108" spans="2:3">
      <c r="B108" s="44" t="s">
        <v>31</v>
      </c>
      <c r="C108" s="47">
        <v>4</v>
      </c>
    </row>
    <row r="109" spans="2:3">
      <c r="B109" s="44" t="s">
        <v>138</v>
      </c>
      <c r="C109" s="47">
        <v>4</v>
      </c>
    </row>
    <row r="110" spans="2:3">
      <c r="B110" s="44" t="s">
        <v>127</v>
      </c>
      <c r="C110" s="47">
        <v>4</v>
      </c>
    </row>
    <row r="111" spans="2:3">
      <c r="B111" s="44" t="s">
        <v>126</v>
      </c>
      <c r="C111" s="47">
        <v>3</v>
      </c>
    </row>
    <row r="112" spans="2:3">
      <c r="B112" s="44" t="s">
        <v>33</v>
      </c>
      <c r="C112" s="47">
        <v>3</v>
      </c>
    </row>
    <row r="113" spans="2:3">
      <c r="B113" s="44" t="s">
        <v>123</v>
      </c>
      <c r="C113" s="47">
        <v>3</v>
      </c>
    </row>
    <row r="114" spans="2:3">
      <c r="B114" s="44" t="s">
        <v>58</v>
      </c>
      <c r="C114" s="47">
        <v>3</v>
      </c>
    </row>
    <row r="115" spans="2:3">
      <c r="B115" s="44" t="s">
        <v>36</v>
      </c>
      <c r="C115" s="47">
        <v>3</v>
      </c>
    </row>
    <row r="116" spans="2:3">
      <c r="B116" s="44" t="s">
        <v>106</v>
      </c>
      <c r="C116" s="47">
        <v>2</v>
      </c>
    </row>
    <row r="117" spans="2:3">
      <c r="B117" s="44" t="s">
        <v>131</v>
      </c>
      <c r="C117" s="47">
        <v>2</v>
      </c>
    </row>
    <row r="118" spans="2:3">
      <c r="B118" s="44" t="s">
        <v>51</v>
      </c>
      <c r="C118" s="47">
        <v>2</v>
      </c>
    </row>
    <row r="119" spans="2:3">
      <c r="B119" s="44" t="s">
        <v>141</v>
      </c>
      <c r="C119" s="47">
        <v>2</v>
      </c>
    </row>
    <row r="120" spans="2:3">
      <c r="B120" s="44" t="s">
        <v>28</v>
      </c>
      <c r="C120" s="47">
        <v>2</v>
      </c>
    </row>
    <row r="121" spans="2:3">
      <c r="B121" s="44" t="s">
        <v>136</v>
      </c>
      <c r="C121" s="47">
        <v>2</v>
      </c>
    </row>
    <row r="122" spans="2:3">
      <c r="B122" s="44" t="s">
        <v>135</v>
      </c>
      <c r="C122" s="47">
        <v>2</v>
      </c>
    </row>
    <row r="123" spans="2:3">
      <c r="B123" s="44" t="s">
        <v>69</v>
      </c>
      <c r="C123" s="47">
        <v>2</v>
      </c>
    </row>
    <row r="124" spans="2:3">
      <c r="B124" s="44" t="s">
        <v>94</v>
      </c>
      <c r="C124" s="47">
        <v>2</v>
      </c>
    </row>
    <row r="125" spans="2:3">
      <c r="B125" s="44" t="s">
        <v>134</v>
      </c>
      <c r="C125" s="47">
        <v>2</v>
      </c>
    </row>
    <row r="126" spans="2:3">
      <c r="B126" s="44" t="s">
        <v>139</v>
      </c>
      <c r="C126" s="47">
        <v>1</v>
      </c>
    </row>
    <row r="127" spans="2:3">
      <c r="B127" s="44" t="s">
        <v>133</v>
      </c>
      <c r="C127" s="47">
        <v>1</v>
      </c>
    </row>
    <row r="128" spans="2:3">
      <c r="B128" s="44" t="s">
        <v>140</v>
      </c>
      <c r="C128" s="47">
        <v>1</v>
      </c>
    </row>
    <row r="129" spans="2:3">
      <c r="B129" s="44" t="s">
        <v>54</v>
      </c>
      <c r="C129" s="47">
        <v>1</v>
      </c>
    </row>
    <row r="130" spans="2:3">
      <c r="B130" s="44" t="s">
        <v>129</v>
      </c>
      <c r="C130" s="47">
        <v>1</v>
      </c>
    </row>
    <row r="131" spans="2:3">
      <c r="B131" s="44" t="s">
        <v>102</v>
      </c>
      <c r="C131" s="47">
        <v>1</v>
      </c>
    </row>
    <row r="132" spans="2:3">
      <c r="B132" s="44" t="s">
        <v>142</v>
      </c>
      <c r="C132" s="47">
        <v>1</v>
      </c>
    </row>
    <row r="133" spans="2:3">
      <c r="B133" s="44" t="s">
        <v>41</v>
      </c>
      <c r="C133" s="47">
        <v>1</v>
      </c>
    </row>
    <row r="134" spans="2:3">
      <c r="B134" s="44" t="s">
        <v>49</v>
      </c>
      <c r="C134" s="47">
        <v>1</v>
      </c>
    </row>
    <row r="135" spans="2:3">
      <c r="B135" s="44" t="s">
        <v>111</v>
      </c>
      <c r="C135" s="47">
        <v>1</v>
      </c>
    </row>
    <row r="136" spans="2:3">
      <c r="B136" s="44" t="s">
        <v>37</v>
      </c>
      <c r="C136" s="47">
        <v>1</v>
      </c>
    </row>
    <row r="137" spans="2:3">
      <c r="B137" s="44" t="s">
        <v>132</v>
      </c>
      <c r="C137" s="47">
        <v>1</v>
      </c>
    </row>
    <row r="138" spans="2:3">
      <c r="B138" s="44" t="s">
        <v>163</v>
      </c>
      <c r="C138" s="47">
        <v>362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B7FE-5EE6-49CE-B43E-9B356443CCA5}">
  <dimension ref="B2:C126"/>
  <sheetViews>
    <sheetView topLeftCell="A77" workbookViewId="0">
      <selection activeCell="B19" sqref="B19"/>
    </sheetView>
  </sheetViews>
  <sheetFormatPr defaultRowHeight="15"/>
  <cols>
    <col min="2" max="2" width="17.7109375" bestFit="1" customWidth="1"/>
    <col min="3" max="3" width="10.85546875" bestFit="1" customWidth="1"/>
  </cols>
  <sheetData>
    <row r="2" spans="2:3">
      <c r="B2" s="43" t="s">
        <v>23</v>
      </c>
      <c r="C2" s="44" t="s">
        <v>168</v>
      </c>
    </row>
    <row r="3" spans="2:3">
      <c r="B3" s="44"/>
      <c r="C3" s="44"/>
    </row>
    <row r="4" spans="2:3">
      <c r="B4" s="43" t="s">
        <v>16</v>
      </c>
      <c r="C4" s="44" t="s">
        <v>160</v>
      </c>
    </row>
    <row r="5" spans="2:3">
      <c r="B5" s="48">
        <v>46265</v>
      </c>
      <c r="C5" s="49">
        <v>1064</v>
      </c>
    </row>
    <row r="6" spans="2:3">
      <c r="B6" s="48">
        <v>46266</v>
      </c>
      <c r="C6" s="49">
        <v>813.4</v>
      </c>
    </row>
    <row r="7" spans="2:3">
      <c r="B7" s="48">
        <v>46267</v>
      </c>
      <c r="C7" s="49">
        <v>853.6</v>
      </c>
    </row>
    <row r="8" spans="2:3">
      <c r="B8" s="48">
        <v>46268</v>
      </c>
      <c r="C8" s="49">
        <v>299</v>
      </c>
    </row>
    <row r="9" spans="2:3">
      <c r="B9" s="48">
        <v>46269</v>
      </c>
      <c r="C9" s="49">
        <v>755.5</v>
      </c>
    </row>
    <row r="10" spans="2:3">
      <c r="B10" s="48">
        <v>46270</v>
      </c>
      <c r="C10" s="49">
        <v>376.6</v>
      </c>
    </row>
    <row r="11" spans="2:3">
      <c r="B11" s="48">
        <v>46271</v>
      </c>
      <c r="C11" s="49">
        <v>688.25</v>
      </c>
    </row>
    <row r="12" spans="2:3">
      <c r="B12" s="48" t="s">
        <v>163</v>
      </c>
      <c r="C12" s="49">
        <v>4850.3500000000004</v>
      </c>
    </row>
    <row r="26" spans="2:3">
      <c r="B26" s="43" t="s">
        <v>23</v>
      </c>
      <c r="C26" s="44" t="s">
        <v>168</v>
      </c>
    </row>
    <row r="27" spans="2:3">
      <c r="B27" s="44"/>
      <c r="C27" s="44"/>
    </row>
    <row r="28" spans="2:3">
      <c r="B28" s="43" t="s">
        <v>17</v>
      </c>
      <c r="C28" s="44" t="s">
        <v>161</v>
      </c>
    </row>
    <row r="29" spans="2:3">
      <c r="B29" s="44" t="s">
        <v>75</v>
      </c>
      <c r="C29" s="49">
        <v>860</v>
      </c>
    </row>
    <row r="30" spans="2:3">
      <c r="B30" s="44" t="s">
        <v>145</v>
      </c>
      <c r="C30" s="49">
        <v>355</v>
      </c>
    </row>
    <row r="31" spans="2:3">
      <c r="B31" s="44" t="s">
        <v>153</v>
      </c>
      <c r="C31" s="49">
        <v>350</v>
      </c>
    </row>
    <row r="32" spans="2:3">
      <c r="B32" s="44" t="s">
        <v>144</v>
      </c>
      <c r="C32" s="49">
        <v>328</v>
      </c>
    </row>
    <row r="33" spans="2:3">
      <c r="B33" s="44" t="s">
        <v>108</v>
      </c>
      <c r="C33" s="49">
        <v>280</v>
      </c>
    </row>
    <row r="34" spans="2:3">
      <c r="B34" s="44" t="s">
        <v>40</v>
      </c>
      <c r="C34" s="49">
        <v>262</v>
      </c>
    </row>
    <row r="35" spans="2:3">
      <c r="B35" s="44" t="s">
        <v>33</v>
      </c>
      <c r="C35" s="49">
        <v>196</v>
      </c>
    </row>
    <row r="36" spans="2:3">
      <c r="B36" s="44" t="s">
        <v>146</v>
      </c>
      <c r="C36" s="49">
        <v>174</v>
      </c>
    </row>
    <row r="37" spans="2:3">
      <c r="B37" s="44" t="s">
        <v>151</v>
      </c>
      <c r="C37" s="49">
        <v>170</v>
      </c>
    </row>
    <row r="38" spans="2:3">
      <c r="B38" s="44" t="s">
        <v>35</v>
      </c>
      <c r="C38" s="49">
        <v>168</v>
      </c>
    </row>
    <row r="39" spans="2:3">
      <c r="B39" s="44" t="s">
        <v>78</v>
      </c>
      <c r="C39" s="49">
        <v>160</v>
      </c>
    </row>
    <row r="40" spans="2:3">
      <c r="B40" s="44" t="s">
        <v>24</v>
      </c>
      <c r="C40" s="49">
        <v>156</v>
      </c>
    </row>
    <row r="41" spans="2:3">
      <c r="B41" s="44" t="s">
        <v>132</v>
      </c>
      <c r="C41" s="49">
        <v>128</v>
      </c>
    </row>
    <row r="42" spans="2:3">
      <c r="B42" s="44" t="s">
        <v>25</v>
      </c>
      <c r="C42" s="49">
        <v>120</v>
      </c>
    </row>
    <row r="43" spans="2:3">
      <c r="B43" s="44" t="s">
        <v>147</v>
      </c>
      <c r="C43" s="49">
        <v>108</v>
      </c>
    </row>
    <row r="44" spans="2:3">
      <c r="B44" s="44" t="s">
        <v>99</v>
      </c>
      <c r="C44" s="49">
        <v>86</v>
      </c>
    </row>
    <row r="45" spans="2:3">
      <c r="B45" s="44" t="s">
        <v>133</v>
      </c>
      <c r="C45" s="49">
        <v>83</v>
      </c>
    </row>
    <row r="46" spans="2:3">
      <c r="B46" s="44" t="s">
        <v>105</v>
      </c>
      <c r="C46" s="49">
        <v>79.900000000000006</v>
      </c>
    </row>
    <row r="47" spans="2:3">
      <c r="B47" s="44" t="s">
        <v>76</v>
      </c>
      <c r="C47" s="49">
        <v>59</v>
      </c>
    </row>
    <row r="48" spans="2:3">
      <c r="B48" s="44" t="s">
        <v>148</v>
      </c>
      <c r="C48" s="49">
        <v>57.599999999999994</v>
      </c>
    </row>
    <row r="49" spans="2:3">
      <c r="B49" s="44" t="s">
        <v>126</v>
      </c>
      <c r="C49" s="49">
        <v>54</v>
      </c>
    </row>
    <row r="50" spans="2:3">
      <c r="B50" s="44" t="s">
        <v>106</v>
      </c>
      <c r="C50" s="49">
        <v>51</v>
      </c>
    </row>
    <row r="51" spans="2:3">
      <c r="B51" s="44" t="s">
        <v>127</v>
      </c>
      <c r="C51" s="49">
        <v>51</v>
      </c>
    </row>
    <row r="52" spans="2:3">
      <c r="B52" s="44" t="s">
        <v>42</v>
      </c>
      <c r="C52" s="49">
        <v>48</v>
      </c>
    </row>
    <row r="53" spans="2:3">
      <c r="B53" s="44" t="s">
        <v>41</v>
      </c>
      <c r="C53" s="49">
        <v>48</v>
      </c>
    </row>
    <row r="54" spans="2:3">
      <c r="B54" s="44" t="s">
        <v>154</v>
      </c>
      <c r="C54" s="49">
        <v>45</v>
      </c>
    </row>
    <row r="55" spans="2:3">
      <c r="B55" s="44" t="s">
        <v>143</v>
      </c>
      <c r="C55" s="49">
        <v>44</v>
      </c>
    </row>
    <row r="56" spans="2:3">
      <c r="B56" s="44" t="s">
        <v>53</v>
      </c>
      <c r="C56" s="49">
        <v>41.25</v>
      </c>
    </row>
    <row r="57" spans="2:3">
      <c r="B57" s="44" t="s">
        <v>54</v>
      </c>
      <c r="C57" s="49">
        <v>36</v>
      </c>
    </row>
    <row r="58" spans="2:3">
      <c r="B58" s="44" t="s">
        <v>52</v>
      </c>
      <c r="C58" s="49">
        <v>36</v>
      </c>
    </row>
    <row r="59" spans="2:3">
      <c r="B59" s="44" t="s">
        <v>125</v>
      </c>
      <c r="C59" s="49">
        <v>30</v>
      </c>
    </row>
    <row r="60" spans="2:3">
      <c r="B60" s="44" t="s">
        <v>149</v>
      </c>
      <c r="C60" s="49">
        <v>27</v>
      </c>
    </row>
    <row r="61" spans="2:3">
      <c r="B61" s="44" t="s">
        <v>36</v>
      </c>
      <c r="C61" s="49">
        <v>26</v>
      </c>
    </row>
    <row r="62" spans="2:3">
      <c r="B62" s="44" t="s">
        <v>37</v>
      </c>
      <c r="C62" s="49">
        <v>24</v>
      </c>
    </row>
    <row r="63" spans="2:3">
      <c r="B63" s="44" t="s">
        <v>94</v>
      </c>
      <c r="C63" s="49">
        <v>22</v>
      </c>
    </row>
    <row r="64" spans="2:3">
      <c r="B64" s="44" t="s">
        <v>34</v>
      </c>
      <c r="C64" s="49">
        <v>22</v>
      </c>
    </row>
    <row r="65" spans="2:3">
      <c r="B65" s="44" t="s">
        <v>150</v>
      </c>
      <c r="C65" s="49">
        <v>16</v>
      </c>
    </row>
    <row r="66" spans="2:3">
      <c r="B66" s="44" t="s">
        <v>152</v>
      </c>
      <c r="C66" s="49">
        <v>12</v>
      </c>
    </row>
    <row r="67" spans="2:3">
      <c r="B67" s="44" t="s">
        <v>28</v>
      </c>
      <c r="C67" s="49">
        <v>12</v>
      </c>
    </row>
    <row r="68" spans="2:3">
      <c r="B68" s="44" t="s">
        <v>83</v>
      </c>
      <c r="C68" s="49">
        <v>7.2000000000000064</v>
      </c>
    </row>
    <row r="69" spans="2:3">
      <c r="B69" s="44" t="s">
        <v>103</v>
      </c>
      <c r="C69" s="49">
        <v>6</v>
      </c>
    </row>
    <row r="70" spans="2:3">
      <c r="B70" s="44" t="s">
        <v>128</v>
      </c>
      <c r="C70" s="49">
        <v>6</v>
      </c>
    </row>
    <row r="71" spans="2:3">
      <c r="B71" s="44" t="s">
        <v>29</v>
      </c>
      <c r="C71" s="49">
        <v>5.4000000000000021</v>
      </c>
    </row>
    <row r="72" spans="2:3">
      <c r="B72" s="44" t="s">
        <v>163</v>
      </c>
      <c r="C72" s="49">
        <v>4850.3499999999995</v>
      </c>
    </row>
    <row r="80" spans="2:3">
      <c r="B80" s="43" t="s">
        <v>23</v>
      </c>
      <c r="C80" s="44" t="s">
        <v>168</v>
      </c>
    </row>
    <row r="81" spans="2:3">
      <c r="B81" s="44"/>
      <c r="C81" s="44"/>
    </row>
    <row r="82" spans="2:3">
      <c r="B82" s="43" t="s">
        <v>17</v>
      </c>
      <c r="C82" s="44" t="s">
        <v>162</v>
      </c>
    </row>
    <row r="83" spans="2:3">
      <c r="B83" s="44" t="s">
        <v>75</v>
      </c>
      <c r="C83" s="47">
        <v>58</v>
      </c>
    </row>
    <row r="84" spans="2:3">
      <c r="B84" s="44" t="s">
        <v>105</v>
      </c>
      <c r="C84" s="47">
        <v>43</v>
      </c>
    </row>
    <row r="85" spans="2:3">
      <c r="B85" s="44" t="s">
        <v>76</v>
      </c>
      <c r="C85" s="47">
        <v>26</v>
      </c>
    </row>
    <row r="86" spans="2:3">
      <c r="B86" s="44" t="s">
        <v>53</v>
      </c>
      <c r="C86" s="47">
        <v>15</v>
      </c>
    </row>
    <row r="87" spans="2:3">
      <c r="B87" s="44" t="s">
        <v>154</v>
      </c>
      <c r="C87" s="47">
        <v>15</v>
      </c>
    </row>
    <row r="88" spans="2:3">
      <c r="B88" s="44" t="s">
        <v>125</v>
      </c>
      <c r="C88" s="47">
        <v>12</v>
      </c>
    </row>
    <row r="89" spans="2:3">
      <c r="B89" s="44" t="s">
        <v>24</v>
      </c>
      <c r="C89" s="47">
        <v>12</v>
      </c>
    </row>
    <row r="90" spans="2:3">
      <c r="B90" s="44" t="s">
        <v>148</v>
      </c>
      <c r="C90" s="47">
        <v>10</v>
      </c>
    </row>
    <row r="91" spans="2:3">
      <c r="B91" s="44" t="s">
        <v>40</v>
      </c>
      <c r="C91" s="47">
        <v>9</v>
      </c>
    </row>
    <row r="92" spans="2:3">
      <c r="B92" s="44" t="s">
        <v>83</v>
      </c>
      <c r="C92" s="47">
        <v>9</v>
      </c>
    </row>
    <row r="93" spans="2:3">
      <c r="B93" s="44" t="s">
        <v>35</v>
      </c>
      <c r="C93" s="47">
        <v>8</v>
      </c>
    </row>
    <row r="94" spans="2:3">
      <c r="B94" s="44" t="s">
        <v>29</v>
      </c>
      <c r="C94" s="47">
        <v>6</v>
      </c>
    </row>
    <row r="95" spans="2:3">
      <c r="B95" s="44" t="s">
        <v>52</v>
      </c>
      <c r="C95" s="47">
        <v>6</v>
      </c>
    </row>
    <row r="96" spans="2:3">
      <c r="B96" s="44" t="s">
        <v>147</v>
      </c>
      <c r="C96" s="47">
        <v>6</v>
      </c>
    </row>
    <row r="97" spans="2:3">
      <c r="B97" s="44" t="s">
        <v>128</v>
      </c>
      <c r="C97" s="47">
        <v>6</v>
      </c>
    </row>
    <row r="98" spans="2:3">
      <c r="B98" s="44" t="s">
        <v>42</v>
      </c>
      <c r="C98" s="47">
        <v>6</v>
      </c>
    </row>
    <row r="99" spans="2:3">
      <c r="B99" s="44" t="s">
        <v>146</v>
      </c>
      <c r="C99" s="47">
        <v>6</v>
      </c>
    </row>
    <row r="100" spans="2:3">
      <c r="B100" s="44" t="s">
        <v>41</v>
      </c>
      <c r="C100" s="47">
        <v>4</v>
      </c>
    </row>
    <row r="101" spans="2:3">
      <c r="B101" s="44" t="s">
        <v>126</v>
      </c>
      <c r="C101" s="47">
        <v>4</v>
      </c>
    </row>
    <row r="102" spans="2:3">
      <c r="B102" s="44" t="s">
        <v>78</v>
      </c>
      <c r="C102" s="47">
        <v>4</v>
      </c>
    </row>
    <row r="103" spans="2:3">
      <c r="B103" s="44" t="s">
        <v>33</v>
      </c>
      <c r="C103" s="47">
        <v>4</v>
      </c>
    </row>
    <row r="104" spans="2:3">
      <c r="B104" s="44" t="s">
        <v>99</v>
      </c>
      <c r="C104" s="47">
        <v>3</v>
      </c>
    </row>
    <row r="105" spans="2:3">
      <c r="B105" s="44" t="s">
        <v>149</v>
      </c>
      <c r="C105" s="47">
        <v>3</v>
      </c>
    </row>
    <row r="106" spans="2:3">
      <c r="B106" s="44" t="s">
        <v>133</v>
      </c>
      <c r="C106" s="47">
        <v>3</v>
      </c>
    </row>
    <row r="107" spans="2:3">
      <c r="B107" s="44" t="s">
        <v>127</v>
      </c>
      <c r="C107" s="47">
        <v>3</v>
      </c>
    </row>
    <row r="108" spans="2:3">
      <c r="B108" s="44" t="s">
        <v>103</v>
      </c>
      <c r="C108" s="47">
        <v>2</v>
      </c>
    </row>
    <row r="109" spans="2:3">
      <c r="B109" s="44" t="s">
        <v>54</v>
      </c>
      <c r="C109" s="47">
        <v>2</v>
      </c>
    </row>
    <row r="110" spans="2:3">
      <c r="B110" s="44" t="s">
        <v>34</v>
      </c>
      <c r="C110" s="47">
        <v>2</v>
      </c>
    </row>
    <row r="111" spans="2:3">
      <c r="B111" s="44" t="s">
        <v>132</v>
      </c>
      <c r="C111" s="47">
        <v>2</v>
      </c>
    </row>
    <row r="112" spans="2:3">
      <c r="B112" s="44" t="s">
        <v>28</v>
      </c>
      <c r="C112" s="47">
        <v>2</v>
      </c>
    </row>
    <row r="113" spans="2:3">
      <c r="B113" s="44" t="s">
        <v>94</v>
      </c>
      <c r="C113" s="47">
        <v>2</v>
      </c>
    </row>
    <row r="114" spans="2:3">
      <c r="B114" s="44" t="s">
        <v>37</v>
      </c>
      <c r="C114" s="47">
        <v>2</v>
      </c>
    </row>
    <row r="115" spans="2:3">
      <c r="B115" s="44" t="s">
        <v>152</v>
      </c>
      <c r="C115" s="47">
        <v>1</v>
      </c>
    </row>
    <row r="116" spans="2:3">
      <c r="B116" s="44" t="s">
        <v>151</v>
      </c>
      <c r="C116" s="47">
        <v>1</v>
      </c>
    </row>
    <row r="117" spans="2:3">
      <c r="B117" s="44" t="s">
        <v>106</v>
      </c>
      <c r="C117" s="47">
        <v>1</v>
      </c>
    </row>
    <row r="118" spans="2:3">
      <c r="B118" s="44" t="s">
        <v>143</v>
      </c>
      <c r="C118" s="47">
        <v>1</v>
      </c>
    </row>
    <row r="119" spans="2:3">
      <c r="B119" s="44" t="s">
        <v>36</v>
      </c>
      <c r="C119" s="47">
        <v>1</v>
      </c>
    </row>
    <row r="120" spans="2:3">
      <c r="B120" s="44" t="s">
        <v>153</v>
      </c>
      <c r="C120" s="47">
        <v>1</v>
      </c>
    </row>
    <row r="121" spans="2:3">
      <c r="B121" s="44" t="s">
        <v>145</v>
      </c>
      <c r="C121" s="47">
        <v>1</v>
      </c>
    </row>
    <row r="122" spans="2:3">
      <c r="B122" s="44" t="s">
        <v>144</v>
      </c>
      <c r="C122" s="47">
        <v>1</v>
      </c>
    </row>
    <row r="123" spans="2:3">
      <c r="B123" s="44" t="s">
        <v>25</v>
      </c>
      <c r="C123" s="47">
        <v>1</v>
      </c>
    </row>
    <row r="124" spans="2:3">
      <c r="B124" s="44" t="s">
        <v>150</v>
      </c>
      <c r="C124" s="47">
        <v>1</v>
      </c>
    </row>
    <row r="125" spans="2:3">
      <c r="B125" s="44" t="s">
        <v>108</v>
      </c>
      <c r="C125" s="47">
        <v>1</v>
      </c>
    </row>
    <row r="126" spans="2:3">
      <c r="B126" s="44" t="s">
        <v>163</v>
      </c>
      <c r="C126" s="47">
        <v>306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A6D1-7A46-4C74-B3A5-B1589CF6AF17}">
  <dimension ref="B2:BO148"/>
  <sheetViews>
    <sheetView tabSelected="1" topLeftCell="A65" workbookViewId="0">
      <selection activeCell="R130" sqref="R130"/>
    </sheetView>
  </sheetViews>
  <sheetFormatPr defaultRowHeight="15"/>
  <sheetData>
    <row r="2" spans="2:67">
      <c r="B2" s="123" t="s">
        <v>169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5"/>
    </row>
    <row r="3" spans="2:67">
      <c r="B3" s="126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8"/>
    </row>
    <row r="4" spans="2:67">
      <c r="B4" s="126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8"/>
    </row>
    <row r="5" spans="2:67">
      <c r="B5" s="126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8"/>
    </row>
    <row r="6" spans="2:67">
      <c r="B6" s="126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8"/>
    </row>
    <row r="7" spans="2:67">
      <c r="B7" s="129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1"/>
    </row>
    <row r="10" spans="2:67" ht="15" customHeight="1">
      <c r="B10" s="114" t="s">
        <v>170</v>
      </c>
      <c r="C10" s="115"/>
      <c r="D10" s="116"/>
      <c r="E10" s="114" t="s">
        <v>171</v>
      </c>
      <c r="F10" s="115"/>
      <c r="G10" s="116"/>
      <c r="H10" s="114" t="s">
        <v>172</v>
      </c>
      <c r="I10" s="115"/>
      <c r="J10" s="116"/>
      <c r="K10" s="114" t="s">
        <v>173</v>
      </c>
      <c r="L10" s="115"/>
      <c r="M10" s="116"/>
      <c r="N10" s="114" t="s">
        <v>174</v>
      </c>
      <c r="O10" s="115"/>
      <c r="P10" s="116"/>
      <c r="S10" s="114" t="s">
        <v>175</v>
      </c>
      <c r="T10" s="115"/>
      <c r="U10" s="116"/>
      <c r="V10" s="114" t="s">
        <v>176</v>
      </c>
      <c r="W10" s="115"/>
      <c r="X10" s="116"/>
      <c r="Y10" s="114" t="s">
        <v>177</v>
      </c>
      <c r="Z10" s="115"/>
      <c r="AA10" s="116"/>
      <c r="AB10" s="114" t="s">
        <v>178</v>
      </c>
      <c r="AC10" s="115"/>
      <c r="AD10" s="116"/>
      <c r="AE10" s="114" t="s">
        <v>179</v>
      </c>
      <c r="AF10" s="115"/>
      <c r="AG10" s="116"/>
      <c r="AJ10" s="114" t="s">
        <v>180</v>
      </c>
      <c r="AK10" s="115"/>
      <c r="AL10" s="116"/>
      <c r="AM10" s="114" t="s">
        <v>181</v>
      </c>
      <c r="AN10" s="115"/>
      <c r="AO10" s="116"/>
      <c r="AP10" s="114" t="s">
        <v>182</v>
      </c>
      <c r="AQ10" s="115"/>
      <c r="AR10" s="116"/>
      <c r="AS10" s="114" t="s">
        <v>183</v>
      </c>
      <c r="AT10" s="115"/>
      <c r="AU10" s="116"/>
      <c r="AV10" s="114" t="s">
        <v>184</v>
      </c>
      <c r="AW10" s="115"/>
      <c r="AX10" s="116"/>
      <c r="BA10" s="114" t="s">
        <v>185</v>
      </c>
      <c r="BB10" s="115"/>
      <c r="BC10" s="116"/>
      <c r="BD10" s="114" t="s">
        <v>186</v>
      </c>
      <c r="BE10" s="115"/>
      <c r="BF10" s="116"/>
      <c r="BG10" s="114" t="s">
        <v>187</v>
      </c>
      <c r="BH10" s="115"/>
      <c r="BI10" s="116"/>
      <c r="BJ10" s="114" t="s">
        <v>188</v>
      </c>
      <c r="BK10" s="115"/>
      <c r="BL10" s="116"/>
      <c r="BM10" s="114" t="s">
        <v>189</v>
      </c>
      <c r="BN10" s="115"/>
      <c r="BO10" s="116"/>
    </row>
    <row r="11" spans="2:67" ht="15" customHeight="1">
      <c r="B11" s="117"/>
      <c r="C11" s="118"/>
      <c r="D11" s="119"/>
      <c r="E11" s="117"/>
      <c r="F11" s="118"/>
      <c r="G11" s="119"/>
      <c r="H11" s="117"/>
      <c r="I11" s="118"/>
      <c r="J11" s="119"/>
      <c r="K11" s="117"/>
      <c r="L11" s="118"/>
      <c r="M11" s="119"/>
      <c r="N11" s="117"/>
      <c r="O11" s="118"/>
      <c r="P11" s="119"/>
      <c r="S11" s="117"/>
      <c r="T11" s="118"/>
      <c r="U11" s="119"/>
      <c r="V11" s="117"/>
      <c r="W11" s="118"/>
      <c r="X11" s="119"/>
      <c r="Y11" s="117"/>
      <c r="Z11" s="118"/>
      <c r="AA11" s="119"/>
      <c r="AB11" s="117"/>
      <c r="AC11" s="118"/>
      <c r="AD11" s="119"/>
      <c r="AE11" s="117"/>
      <c r="AF11" s="118"/>
      <c r="AG11" s="119"/>
      <c r="AJ11" s="117"/>
      <c r="AK11" s="118"/>
      <c r="AL11" s="119"/>
      <c r="AM11" s="117"/>
      <c r="AN11" s="118"/>
      <c r="AO11" s="119"/>
      <c r="AP11" s="117"/>
      <c r="AQ11" s="118"/>
      <c r="AR11" s="119"/>
      <c r="AS11" s="117"/>
      <c r="AT11" s="118"/>
      <c r="AU11" s="119"/>
      <c r="AV11" s="117"/>
      <c r="AW11" s="118"/>
      <c r="AX11" s="119"/>
      <c r="BA11" s="117"/>
      <c r="BB11" s="118"/>
      <c r="BC11" s="119"/>
      <c r="BD11" s="117"/>
      <c r="BE11" s="118"/>
      <c r="BF11" s="119"/>
      <c r="BG11" s="117"/>
      <c r="BH11" s="118"/>
      <c r="BI11" s="119"/>
      <c r="BJ11" s="117"/>
      <c r="BK11" s="118"/>
      <c r="BL11" s="119"/>
      <c r="BM11" s="117"/>
      <c r="BN11" s="118"/>
      <c r="BO11" s="119"/>
    </row>
    <row r="12" spans="2:67" ht="15" customHeight="1">
      <c r="B12" s="117"/>
      <c r="C12" s="118"/>
      <c r="D12" s="119"/>
      <c r="E12" s="117"/>
      <c r="F12" s="118"/>
      <c r="G12" s="119"/>
      <c r="H12" s="117"/>
      <c r="I12" s="118"/>
      <c r="J12" s="119"/>
      <c r="K12" s="117"/>
      <c r="L12" s="118"/>
      <c r="M12" s="119"/>
      <c r="N12" s="117"/>
      <c r="O12" s="118"/>
      <c r="P12" s="119"/>
      <c r="S12" s="117"/>
      <c r="T12" s="118"/>
      <c r="U12" s="119"/>
      <c r="V12" s="117"/>
      <c r="W12" s="118"/>
      <c r="X12" s="119"/>
      <c r="Y12" s="117"/>
      <c r="Z12" s="118"/>
      <c r="AA12" s="119"/>
      <c r="AB12" s="117"/>
      <c r="AC12" s="118"/>
      <c r="AD12" s="119"/>
      <c r="AE12" s="117"/>
      <c r="AF12" s="118"/>
      <c r="AG12" s="119"/>
      <c r="AJ12" s="117"/>
      <c r="AK12" s="118"/>
      <c r="AL12" s="119"/>
      <c r="AM12" s="117"/>
      <c r="AN12" s="118"/>
      <c r="AO12" s="119"/>
      <c r="AP12" s="117"/>
      <c r="AQ12" s="118"/>
      <c r="AR12" s="119"/>
      <c r="AS12" s="117"/>
      <c r="AT12" s="118"/>
      <c r="AU12" s="119"/>
      <c r="AV12" s="117"/>
      <c r="AW12" s="118"/>
      <c r="AX12" s="119"/>
      <c r="BA12" s="117"/>
      <c r="BB12" s="118"/>
      <c r="BC12" s="119"/>
      <c r="BD12" s="117"/>
      <c r="BE12" s="118"/>
      <c r="BF12" s="119"/>
      <c r="BG12" s="117"/>
      <c r="BH12" s="118"/>
      <c r="BI12" s="119"/>
      <c r="BJ12" s="117"/>
      <c r="BK12" s="118"/>
      <c r="BL12" s="119"/>
      <c r="BM12" s="117"/>
      <c r="BN12" s="118"/>
      <c r="BO12" s="119"/>
    </row>
    <row r="13" spans="2:67" ht="15" customHeight="1">
      <c r="B13" s="120"/>
      <c r="C13" s="132"/>
      <c r="D13" s="133"/>
      <c r="E13" s="134"/>
      <c r="F13" s="132"/>
      <c r="G13" s="133"/>
      <c r="H13" s="134"/>
      <c r="I13" s="132"/>
      <c r="J13" s="133"/>
      <c r="K13" s="134"/>
      <c r="L13" s="132"/>
      <c r="M13" s="133"/>
      <c r="N13" s="134"/>
      <c r="O13" s="132"/>
      <c r="P13" s="122"/>
      <c r="S13" s="120"/>
      <c r="T13" s="121"/>
      <c r="U13" s="122"/>
      <c r="V13" s="120"/>
      <c r="W13" s="121"/>
      <c r="X13" s="122"/>
      <c r="Y13" s="120"/>
      <c r="Z13" s="121"/>
      <c r="AA13" s="122"/>
      <c r="AB13" s="120"/>
      <c r="AC13" s="121"/>
      <c r="AD13" s="122"/>
      <c r="AE13" s="120"/>
      <c r="AF13" s="121"/>
      <c r="AG13" s="122"/>
      <c r="AJ13" s="120"/>
      <c r="AK13" s="121"/>
      <c r="AL13" s="122"/>
      <c r="AM13" s="120"/>
      <c r="AN13" s="121"/>
      <c r="AO13" s="122"/>
      <c r="AP13" s="120"/>
      <c r="AQ13" s="121"/>
      <c r="AR13" s="122"/>
      <c r="AS13" s="120"/>
      <c r="AT13" s="121"/>
      <c r="AU13" s="122"/>
      <c r="AV13" s="120"/>
      <c r="AW13" s="121"/>
      <c r="AX13" s="122"/>
      <c r="BA13" s="120"/>
      <c r="BB13" s="121"/>
      <c r="BC13" s="122"/>
      <c r="BD13" s="120"/>
      <c r="BE13" s="121"/>
      <c r="BF13" s="122"/>
      <c r="BG13" s="120"/>
      <c r="BH13" s="121"/>
      <c r="BI13" s="122"/>
      <c r="BJ13" s="120"/>
      <c r="BK13" s="121"/>
      <c r="BL13" s="122"/>
      <c r="BM13" s="120"/>
      <c r="BN13" s="121"/>
      <c r="BO13" s="122"/>
    </row>
    <row r="14" spans="2:67">
      <c r="C14" s="105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7"/>
      <c r="T14" s="105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7"/>
      <c r="AK14" s="105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7"/>
      <c r="BB14" s="105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7"/>
    </row>
    <row r="15" spans="2:67">
      <c r="C15" s="108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10"/>
      <c r="T15" s="108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10"/>
      <c r="AK15" s="108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10"/>
      <c r="BB15" s="108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10"/>
    </row>
    <row r="16" spans="2:67">
      <c r="C16" s="108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10"/>
      <c r="T16" s="108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10"/>
      <c r="AK16" s="108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10"/>
      <c r="BB16" s="108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10"/>
    </row>
    <row r="17" spans="3:66">
      <c r="C17" s="108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10"/>
      <c r="T17" s="108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10"/>
      <c r="AK17" s="108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10"/>
      <c r="BB17" s="108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10"/>
    </row>
    <row r="18" spans="3:66">
      <c r="C18" s="108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T18" s="108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10"/>
      <c r="AK18" s="108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10"/>
      <c r="BB18" s="108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10"/>
    </row>
    <row r="19" spans="3:66">
      <c r="C19" s="108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10"/>
      <c r="T19" s="108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10"/>
      <c r="AK19" s="108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10"/>
      <c r="BB19" s="108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10"/>
    </row>
    <row r="20" spans="3:66">
      <c r="C20" s="108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10"/>
      <c r="T20" s="108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10"/>
      <c r="AK20" s="108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10"/>
      <c r="BB20" s="108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10"/>
    </row>
    <row r="21" spans="3:66">
      <c r="C21" s="108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10"/>
      <c r="T21" s="108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10"/>
      <c r="AK21" s="108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10"/>
      <c r="BB21" s="108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10"/>
    </row>
    <row r="22" spans="3:66">
      <c r="C22" s="108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10"/>
      <c r="T22" s="108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10"/>
      <c r="AK22" s="108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10"/>
      <c r="BB22" s="108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10"/>
    </row>
    <row r="23" spans="3:66">
      <c r="C23" s="108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10"/>
      <c r="T23" s="108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10"/>
      <c r="AK23" s="108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10"/>
      <c r="BB23" s="108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  <c r="BM23" s="109"/>
      <c r="BN23" s="110"/>
    </row>
    <row r="24" spans="3:66">
      <c r="C24" s="108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10"/>
      <c r="T24" s="108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10"/>
      <c r="AK24" s="108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10"/>
      <c r="BB24" s="108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10"/>
    </row>
    <row r="25" spans="3:66">
      <c r="C25" s="108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10"/>
      <c r="T25" s="108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10"/>
      <c r="AK25" s="108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10"/>
      <c r="BB25" s="108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10"/>
    </row>
    <row r="26" spans="3:66">
      <c r="C26" s="108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10"/>
      <c r="T26" s="108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10"/>
      <c r="AK26" s="108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10"/>
      <c r="BB26" s="108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10"/>
    </row>
    <row r="27" spans="3:66">
      <c r="C27" s="108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10"/>
      <c r="T27" s="108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10"/>
      <c r="AK27" s="108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10"/>
      <c r="BB27" s="108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10"/>
    </row>
    <row r="28" spans="3:66">
      <c r="C28" s="108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10"/>
      <c r="T28" s="108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10"/>
      <c r="AK28" s="108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10"/>
      <c r="BB28" s="108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10"/>
    </row>
    <row r="29" spans="3:66">
      <c r="C29" s="108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10"/>
      <c r="T29" s="108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10"/>
      <c r="AK29" s="108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10"/>
      <c r="BB29" s="108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10"/>
    </row>
    <row r="30" spans="3:66">
      <c r="C30" s="108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10"/>
      <c r="T30" s="108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10"/>
      <c r="AK30" s="108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10"/>
      <c r="BB30" s="108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10"/>
    </row>
    <row r="31" spans="3:66">
      <c r="C31" s="108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10"/>
      <c r="T31" s="108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10"/>
      <c r="AK31" s="108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10"/>
      <c r="BB31" s="108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10"/>
    </row>
    <row r="32" spans="3:66">
      <c r="C32" s="108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10"/>
      <c r="T32" s="108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10"/>
      <c r="AK32" s="108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10"/>
      <c r="BB32" s="108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10"/>
    </row>
    <row r="33" spans="3:66">
      <c r="C33" s="111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  <c r="T33" s="111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3"/>
      <c r="AK33" s="111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3"/>
      <c r="BB33" s="111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3"/>
    </row>
    <row r="36" spans="3:66">
      <c r="C36" s="105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  <c r="T36" s="105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7"/>
      <c r="AK36" s="105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7"/>
      <c r="BB36" s="105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7"/>
    </row>
    <row r="37" spans="3:66">
      <c r="C37" s="108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10"/>
      <c r="T37" s="108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10"/>
      <c r="AK37" s="108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10"/>
      <c r="BB37" s="108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10"/>
    </row>
    <row r="38" spans="3:66">
      <c r="C38" s="108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10"/>
      <c r="T38" s="108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10"/>
      <c r="AK38" s="108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10"/>
      <c r="BB38" s="108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10"/>
    </row>
    <row r="39" spans="3:66">
      <c r="C39" s="108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10"/>
      <c r="T39" s="108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10"/>
      <c r="AK39" s="108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10"/>
      <c r="BB39" s="108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10"/>
    </row>
    <row r="40" spans="3:66">
      <c r="C40" s="108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10"/>
      <c r="T40" s="108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10"/>
      <c r="AK40" s="108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10"/>
      <c r="BB40" s="108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10"/>
    </row>
    <row r="41" spans="3:66">
      <c r="C41" s="108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10"/>
      <c r="T41" s="108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10"/>
      <c r="AK41" s="108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10"/>
      <c r="BB41" s="108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10"/>
    </row>
    <row r="42" spans="3:66">
      <c r="C42" s="108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10"/>
      <c r="T42" s="108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10"/>
      <c r="AK42" s="108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10"/>
      <c r="BB42" s="108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10"/>
    </row>
    <row r="43" spans="3:66">
      <c r="C43" s="108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10"/>
      <c r="T43" s="108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10"/>
      <c r="AK43" s="108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10"/>
      <c r="BB43" s="108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10"/>
    </row>
    <row r="44" spans="3:66">
      <c r="C44" s="108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10"/>
      <c r="T44" s="108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10"/>
      <c r="AK44" s="108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10"/>
      <c r="BB44" s="108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10"/>
    </row>
    <row r="45" spans="3:66">
      <c r="C45" s="108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10"/>
      <c r="T45" s="108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10"/>
      <c r="AK45" s="108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10"/>
      <c r="BB45" s="108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10"/>
    </row>
    <row r="46" spans="3:66">
      <c r="C46" s="108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10"/>
      <c r="T46" s="108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10"/>
      <c r="AK46" s="108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10"/>
      <c r="BB46" s="108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10"/>
    </row>
    <row r="47" spans="3:66">
      <c r="C47" s="108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10"/>
      <c r="T47" s="108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10"/>
      <c r="AK47" s="108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10"/>
      <c r="BB47" s="108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10"/>
    </row>
    <row r="48" spans="3:66">
      <c r="C48" s="108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10"/>
      <c r="T48" s="108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10"/>
      <c r="AK48" s="108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10"/>
      <c r="BB48" s="108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10"/>
    </row>
    <row r="49" spans="3:66">
      <c r="C49" s="108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10"/>
      <c r="T49" s="108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10"/>
      <c r="AK49" s="108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10"/>
      <c r="BB49" s="108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10"/>
    </row>
    <row r="50" spans="3:66">
      <c r="C50" s="108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10"/>
      <c r="T50" s="108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10"/>
      <c r="AK50" s="108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10"/>
      <c r="BB50" s="108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10"/>
    </row>
    <row r="51" spans="3:66">
      <c r="C51" s="108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10"/>
      <c r="T51" s="108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10"/>
      <c r="AK51" s="108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10"/>
      <c r="BB51" s="108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10"/>
    </row>
    <row r="52" spans="3:66">
      <c r="C52" s="108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10"/>
      <c r="T52" s="108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10"/>
      <c r="AK52" s="108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10"/>
      <c r="BB52" s="108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10"/>
    </row>
    <row r="53" spans="3:66">
      <c r="C53" s="108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10"/>
      <c r="T53" s="108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10"/>
      <c r="AK53" s="108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10"/>
      <c r="BB53" s="108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10"/>
    </row>
    <row r="54" spans="3:66">
      <c r="C54" s="108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10"/>
      <c r="T54" s="108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10"/>
      <c r="AK54" s="108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10"/>
      <c r="BB54" s="108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10"/>
    </row>
    <row r="55" spans="3:66">
      <c r="C55" s="111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3"/>
      <c r="T55" s="111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3"/>
      <c r="AK55" s="111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3"/>
      <c r="BB55" s="111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3"/>
    </row>
    <row r="58" spans="3:66">
      <c r="C58" s="105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7"/>
      <c r="T58" s="105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7"/>
      <c r="AK58" s="105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7"/>
      <c r="BB58" s="105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7"/>
    </row>
    <row r="59" spans="3:66">
      <c r="C59" s="108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10"/>
      <c r="T59" s="108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10"/>
      <c r="AK59" s="108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10"/>
      <c r="BB59" s="108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10"/>
    </row>
    <row r="60" spans="3:66">
      <c r="C60" s="108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10"/>
      <c r="T60" s="108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10"/>
      <c r="AK60" s="108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10"/>
      <c r="BB60" s="108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  <c r="BM60" s="109"/>
      <c r="BN60" s="110"/>
    </row>
    <row r="61" spans="3:66">
      <c r="C61" s="108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10"/>
      <c r="T61" s="108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10"/>
      <c r="AK61" s="108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10"/>
      <c r="BB61" s="108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  <c r="BM61" s="109"/>
      <c r="BN61" s="110"/>
    </row>
    <row r="62" spans="3:66">
      <c r="C62" s="108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10"/>
      <c r="T62" s="108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10"/>
      <c r="AK62" s="108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10"/>
      <c r="BB62" s="108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  <c r="BM62" s="109"/>
      <c r="BN62" s="110"/>
    </row>
    <row r="63" spans="3:66">
      <c r="C63" s="108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10"/>
      <c r="T63" s="108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10"/>
      <c r="AK63" s="108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10"/>
      <c r="BB63" s="108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10"/>
    </row>
    <row r="64" spans="3:66">
      <c r="C64" s="108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10"/>
      <c r="T64" s="108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10"/>
      <c r="AK64" s="108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10"/>
      <c r="BB64" s="108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10"/>
    </row>
    <row r="65" spans="3:66">
      <c r="C65" s="108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10"/>
      <c r="T65" s="108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10"/>
      <c r="AK65" s="108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10"/>
      <c r="BB65" s="108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10"/>
    </row>
    <row r="66" spans="3:66">
      <c r="C66" s="108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10"/>
      <c r="T66" s="108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10"/>
      <c r="AK66" s="108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10"/>
      <c r="BB66" s="108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10"/>
    </row>
    <row r="67" spans="3:66">
      <c r="C67" s="108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10"/>
      <c r="T67" s="108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10"/>
      <c r="AK67" s="108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10"/>
      <c r="BB67" s="108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10"/>
    </row>
    <row r="68" spans="3:66">
      <c r="C68" s="108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10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10"/>
      <c r="AK68" s="108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10"/>
      <c r="BB68" s="108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10"/>
    </row>
    <row r="69" spans="3:66">
      <c r="C69" s="108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10"/>
      <c r="T69" s="108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10"/>
      <c r="AK69" s="108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10"/>
      <c r="BB69" s="108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10"/>
    </row>
    <row r="70" spans="3:66">
      <c r="C70" s="108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10"/>
      <c r="T70" s="108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10"/>
      <c r="AK70" s="108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10"/>
      <c r="BB70" s="108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10"/>
    </row>
    <row r="71" spans="3:66">
      <c r="C71" s="108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10"/>
      <c r="T71" s="108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10"/>
      <c r="AK71" s="108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10"/>
      <c r="BB71" s="108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10"/>
    </row>
    <row r="72" spans="3:66">
      <c r="C72" s="108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10"/>
      <c r="T72" s="108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10"/>
      <c r="AK72" s="108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10"/>
      <c r="BB72" s="108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10"/>
    </row>
    <row r="73" spans="3:66">
      <c r="C73" s="108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10"/>
      <c r="T73" s="108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10"/>
      <c r="AK73" s="108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10"/>
      <c r="BB73" s="108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10"/>
    </row>
    <row r="74" spans="3:66">
      <c r="C74" s="108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10"/>
      <c r="T74" s="108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10"/>
      <c r="AK74" s="108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10"/>
      <c r="BB74" s="108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10"/>
    </row>
    <row r="75" spans="3:66">
      <c r="C75" s="108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10"/>
      <c r="T75" s="108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10"/>
      <c r="AK75" s="108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10"/>
      <c r="BB75" s="108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10"/>
    </row>
    <row r="76" spans="3:66">
      <c r="C76" s="108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10"/>
      <c r="T76" s="108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10"/>
      <c r="AK76" s="108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10"/>
      <c r="BB76" s="108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10"/>
    </row>
    <row r="77" spans="3:66">
      <c r="C77" s="111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3"/>
      <c r="T77" s="111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3"/>
      <c r="AK77" s="111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3"/>
      <c r="BB77" s="111"/>
      <c r="BC77" s="112"/>
      <c r="BD77" s="112"/>
      <c r="BE77" s="112"/>
      <c r="BF77" s="112"/>
      <c r="BG77" s="112"/>
      <c r="BH77" s="112"/>
      <c r="BI77" s="112"/>
      <c r="BJ77" s="112"/>
      <c r="BK77" s="112"/>
      <c r="BL77" s="112"/>
      <c r="BM77" s="112"/>
      <c r="BN77" s="113"/>
    </row>
    <row r="81" spans="2:33" ht="18.75" customHeight="1">
      <c r="B81" s="114" t="s">
        <v>190</v>
      </c>
      <c r="C81" s="115"/>
      <c r="D81" s="116"/>
      <c r="E81" s="114" t="s">
        <v>191</v>
      </c>
      <c r="F81" s="115"/>
      <c r="G81" s="116"/>
      <c r="H81" s="114" t="s">
        <v>192</v>
      </c>
      <c r="I81" s="115"/>
      <c r="J81" s="116"/>
      <c r="K81" s="114" t="s">
        <v>193</v>
      </c>
      <c r="L81" s="115"/>
      <c r="M81" s="116"/>
      <c r="N81" s="114" t="s">
        <v>194</v>
      </c>
      <c r="O81" s="115"/>
      <c r="P81" s="116"/>
      <c r="S81" s="114" t="s">
        <v>195</v>
      </c>
      <c r="T81" s="115"/>
      <c r="U81" s="116"/>
      <c r="V81" s="114" t="s">
        <v>191</v>
      </c>
      <c r="W81" s="115"/>
      <c r="X81" s="116"/>
      <c r="Y81" s="114" t="s">
        <v>192</v>
      </c>
      <c r="Z81" s="115"/>
      <c r="AA81" s="116"/>
      <c r="AB81" s="114" t="s">
        <v>193</v>
      </c>
      <c r="AC81" s="115"/>
      <c r="AD81" s="116"/>
      <c r="AE81" s="114" t="s">
        <v>194</v>
      </c>
      <c r="AF81" s="115"/>
      <c r="AG81" s="116"/>
    </row>
    <row r="82" spans="2:33" ht="15" customHeight="1">
      <c r="B82" s="117"/>
      <c r="C82" s="118"/>
      <c r="D82" s="119"/>
      <c r="E82" s="117"/>
      <c r="F82" s="118"/>
      <c r="G82" s="119"/>
      <c r="H82" s="117"/>
      <c r="I82" s="118"/>
      <c r="J82" s="119"/>
      <c r="K82" s="117"/>
      <c r="L82" s="118"/>
      <c r="M82" s="119"/>
      <c r="N82" s="117"/>
      <c r="O82" s="118"/>
      <c r="P82" s="119"/>
      <c r="S82" s="117"/>
      <c r="T82" s="118"/>
      <c r="U82" s="119"/>
      <c r="V82" s="117"/>
      <c r="W82" s="118"/>
      <c r="X82" s="119"/>
      <c r="Y82" s="117"/>
      <c r="Z82" s="118"/>
      <c r="AA82" s="119"/>
      <c r="AB82" s="117"/>
      <c r="AC82" s="118"/>
      <c r="AD82" s="119"/>
      <c r="AE82" s="117"/>
      <c r="AF82" s="118"/>
      <c r="AG82" s="119"/>
    </row>
    <row r="83" spans="2:33" ht="15" customHeight="1">
      <c r="B83" s="117"/>
      <c r="C83" s="118"/>
      <c r="D83" s="119"/>
      <c r="E83" s="117"/>
      <c r="F83" s="118"/>
      <c r="G83" s="119"/>
      <c r="H83" s="117"/>
      <c r="I83" s="118"/>
      <c r="J83" s="119"/>
      <c r="K83" s="117"/>
      <c r="L83" s="118"/>
      <c r="M83" s="119"/>
      <c r="N83" s="117"/>
      <c r="O83" s="118"/>
      <c r="P83" s="119"/>
      <c r="S83" s="117"/>
      <c r="T83" s="118"/>
      <c r="U83" s="119"/>
      <c r="V83" s="117"/>
      <c r="W83" s="118"/>
      <c r="X83" s="119"/>
      <c r="Y83" s="117"/>
      <c r="Z83" s="118"/>
      <c r="AA83" s="119"/>
      <c r="AB83" s="117"/>
      <c r="AC83" s="118"/>
      <c r="AD83" s="119"/>
      <c r="AE83" s="117"/>
      <c r="AF83" s="118"/>
      <c r="AG83" s="119"/>
    </row>
    <row r="84" spans="2:33" ht="15" customHeight="1">
      <c r="B84" s="120"/>
      <c r="C84" s="132"/>
      <c r="D84" s="133"/>
      <c r="E84" s="120"/>
      <c r="F84" s="132"/>
      <c r="G84" s="133"/>
      <c r="H84" s="120"/>
      <c r="I84" s="132"/>
      <c r="J84" s="133"/>
      <c r="K84" s="120"/>
      <c r="L84" s="132"/>
      <c r="M84" s="133"/>
      <c r="N84" s="120"/>
      <c r="O84" s="132"/>
      <c r="P84" s="133"/>
      <c r="S84" s="120"/>
      <c r="T84" s="132"/>
      <c r="U84" s="133"/>
      <c r="V84" s="120"/>
      <c r="W84" s="132"/>
      <c r="X84" s="133"/>
      <c r="Y84" s="120"/>
      <c r="Z84" s="132"/>
      <c r="AA84" s="133"/>
      <c r="AB84" s="120"/>
      <c r="AC84" s="132"/>
      <c r="AD84" s="133"/>
      <c r="AE84" s="120"/>
      <c r="AF84" s="132"/>
      <c r="AG84" s="133"/>
    </row>
    <row r="85" spans="2:33">
      <c r="C85" s="105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7"/>
      <c r="T85" s="105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7"/>
    </row>
    <row r="86" spans="2:33">
      <c r="C86" s="108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10"/>
      <c r="T86" s="108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10"/>
    </row>
    <row r="87" spans="2:33">
      <c r="C87" s="108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10"/>
      <c r="T87" s="108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10"/>
    </row>
    <row r="88" spans="2:33">
      <c r="C88" s="108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10"/>
      <c r="T88" s="108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10"/>
    </row>
    <row r="89" spans="2:33">
      <c r="C89" s="108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10"/>
      <c r="T89" s="108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10"/>
    </row>
    <row r="90" spans="2:33">
      <c r="C90" s="108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10"/>
      <c r="T90" s="108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10"/>
    </row>
    <row r="91" spans="2:33">
      <c r="C91" s="108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10"/>
      <c r="T91" s="108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10"/>
    </row>
    <row r="92" spans="2:33">
      <c r="C92" s="108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10"/>
      <c r="T92" s="108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10"/>
    </row>
    <row r="93" spans="2:33">
      <c r="C93" s="108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10"/>
      <c r="T93" s="108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10"/>
    </row>
    <row r="94" spans="2:33">
      <c r="C94" s="108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10"/>
      <c r="T94" s="108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10"/>
    </row>
    <row r="95" spans="2:33">
      <c r="C95" s="108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10"/>
      <c r="T95" s="108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10"/>
    </row>
    <row r="96" spans="2:33">
      <c r="C96" s="108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10"/>
      <c r="T96" s="108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10"/>
    </row>
    <row r="97" spans="3:32">
      <c r="C97" s="108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10"/>
      <c r="T97" s="108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10"/>
    </row>
    <row r="98" spans="3:32">
      <c r="C98" s="108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10"/>
      <c r="T98" s="108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10"/>
    </row>
    <row r="99" spans="3:32">
      <c r="C99" s="108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10"/>
      <c r="T99" s="108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10"/>
    </row>
    <row r="100" spans="3:32">
      <c r="C100" s="108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10"/>
      <c r="T100" s="108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10"/>
    </row>
    <row r="101" spans="3:32">
      <c r="C101" s="108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10"/>
      <c r="T101" s="108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10"/>
    </row>
    <row r="102" spans="3:32">
      <c r="C102" s="108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10"/>
      <c r="T102" s="108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10"/>
    </row>
    <row r="103" spans="3:32">
      <c r="C103" s="108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10"/>
      <c r="T103" s="108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10"/>
    </row>
    <row r="104" spans="3:32">
      <c r="C104" s="111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3"/>
      <c r="T104" s="111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3"/>
    </row>
    <row r="107" spans="3:32">
      <c r="C107" s="105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7"/>
      <c r="T107" s="105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7"/>
    </row>
    <row r="108" spans="3:32">
      <c r="C108" s="108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10"/>
      <c r="T108" s="108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10"/>
    </row>
    <row r="109" spans="3:32">
      <c r="C109" s="108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10"/>
      <c r="T109" s="108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10"/>
    </row>
    <row r="110" spans="3:32">
      <c r="C110" s="108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10"/>
      <c r="T110" s="108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10"/>
    </row>
    <row r="111" spans="3:32">
      <c r="C111" s="108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10"/>
      <c r="T111" s="108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10"/>
    </row>
    <row r="112" spans="3:32">
      <c r="C112" s="108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10"/>
      <c r="T112" s="108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10"/>
    </row>
    <row r="113" spans="3:32">
      <c r="C113" s="108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10"/>
      <c r="T113" s="108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10"/>
    </row>
    <row r="114" spans="3:32">
      <c r="C114" s="108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10"/>
      <c r="T114" s="108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10"/>
    </row>
    <row r="115" spans="3:32">
      <c r="C115" s="108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10"/>
      <c r="T115" s="108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10"/>
    </row>
    <row r="116" spans="3:32">
      <c r="C116" s="108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10"/>
      <c r="T116" s="108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10"/>
    </row>
    <row r="117" spans="3:32">
      <c r="C117" s="108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10"/>
      <c r="T117" s="108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10"/>
    </row>
    <row r="118" spans="3:32">
      <c r="C118" s="108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10"/>
      <c r="T118" s="108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10"/>
    </row>
    <row r="119" spans="3:32">
      <c r="C119" s="108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10"/>
      <c r="T119" s="108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10"/>
    </row>
    <row r="120" spans="3:32">
      <c r="C120" s="108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10"/>
      <c r="T120" s="108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10"/>
    </row>
    <row r="121" spans="3:32">
      <c r="C121" s="108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10"/>
      <c r="T121" s="108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10"/>
    </row>
    <row r="122" spans="3:32">
      <c r="C122" s="108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10"/>
      <c r="T122" s="108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10"/>
    </row>
    <row r="123" spans="3:32">
      <c r="C123" s="108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10"/>
      <c r="T123" s="108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10"/>
    </row>
    <row r="124" spans="3:32">
      <c r="C124" s="108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10"/>
      <c r="T124" s="108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10"/>
    </row>
    <row r="125" spans="3:32">
      <c r="C125" s="108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10"/>
      <c r="T125" s="108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10"/>
    </row>
    <row r="126" spans="3:32">
      <c r="C126" s="111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3"/>
      <c r="T126" s="111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3"/>
    </row>
    <row r="129" spans="3:32">
      <c r="C129" s="105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7"/>
      <c r="T129" s="105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7"/>
    </row>
    <row r="130" spans="3:32">
      <c r="C130" s="108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10"/>
      <c r="T130" s="108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10"/>
    </row>
    <row r="131" spans="3:32">
      <c r="C131" s="108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10"/>
      <c r="T131" s="108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10"/>
    </row>
    <row r="132" spans="3:32">
      <c r="C132" s="108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10"/>
      <c r="T132" s="108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10"/>
    </row>
    <row r="133" spans="3:32">
      <c r="C133" s="108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10"/>
      <c r="T133" s="108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10"/>
    </row>
    <row r="134" spans="3:32">
      <c r="C134" s="108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10"/>
      <c r="T134" s="108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10"/>
    </row>
    <row r="135" spans="3:32">
      <c r="C135" s="108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10"/>
      <c r="T135" s="108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10"/>
    </row>
    <row r="136" spans="3:32">
      <c r="C136" s="108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10"/>
      <c r="T136" s="108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10"/>
    </row>
    <row r="137" spans="3:32">
      <c r="C137" s="108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10"/>
      <c r="T137" s="108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10"/>
    </row>
    <row r="138" spans="3:32">
      <c r="C138" s="108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10"/>
      <c r="T138" s="108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10"/>
    </row>
    <row r="139" spans="3:32">
      <c r="C139" s="108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10"/>
      <c r="T139" s="108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10"/>
    </row>
    <row r="140" spans="3:32">
      <c r="C140" s="108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10"/>
      <c r="T140" s="108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10"/>
    </row>
    <row r="141" spans="3:32">
      <c r="C141" s="108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10"/>
      <c r="T141" s="108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10"/>
    </row>
    <row r="142" spans="3:32">
      <c r="C142" s="108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10"/>
      <c r="T142" s="108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10"/>
    </row>
    <row r="143" spans="3:32">
      <c r="C143" s="108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10"/>
      <c r="T143" s="108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10"/>
    </row>
    <row r="144" spans="3:32">
      <c r="C144" s="108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10"/>
      <c r="T144" s="108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10"/>
    </row>
    <row r="145" spans="3:32">
      <c r="C145" s="108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10"/>
      <c r="T145" s="108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10"/>
    </row>
    <row r="146" spans="3:32">
      <c r="C146" s="108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10"/>
      <c r="T146" s="108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10"/>
    </row>
    <row r="147" spans="3:32">
      <c r="C147" s="108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10"/>
      <c r="T147" s="108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10"/>
    </row>
    <row r="148" spans="3:32">
      <c r="C148" s="111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3"/>
      <c r="T148" s="111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3"/>
    </row>
  </sheetData>
  <mergeCells count="49">
    <mergeCell ref="S81:U84"/>
    <mergeCell ref="V81:X84"/>
    <mergeCell ref="Y81:AA84"/>
    <mergeCell ref="AB81:AD84"/>
    <mergeCell ref="AE81:AG84"/>
    <mergeCell ref="C107:O126"/>
    <mergeCell ref="C129:O148"/>
    <mergeCell ref="T85:AF104"/>
    <mergeCell ref="T107:AF126"/>
    <mergeCell ref="T129:AF148"/>
    <mergeCell ref="C85:O104"/>
    <mergeCell ref="B81:D84"/>
    <mergeCell ref="E81:G84"/>
    <mergeCell ref="H81:J84"/>
    <mergeCell ref="K81:M84"/>
    <mergeCell ref="N81:P84"/>
    <mergeCell ref="S10:U13"/>
    <mergeCell ref="B2:R7"/>
    <mergeCell ref="B10:D13"/>
    <mergeCell ref="E10:G13"/>
    <mergeCell ref="H10:J13"/>
    <mergeCell ref="K10:M13"/>
    <mergeCell ref="N10:P13"/>
    <mergeCell ref="V10:X13"/>
    <mergeCell ref="Y10:AA13"/>
    <mergeCell ref="AB10:AD13"/>
    <mergeCell ref="AE10:AG13"/>
    <mergeCell ref="AJ10:AL13"/>
    <mergeCell ref="C14:O33"/>
    <mergeCell ref="C36:O55"/>
    <mergeCell ref="C58:O77"/>
    <mergeCell ref="T14:AF33"/>
    <mergeCell ref="T36:AF55"/>
    <mergeCell ref="T58:AF77"/>
    <mergeCell ref="AK36:AW55"/>
    <mergeCell ref="BB36:BN55"/>
    <mergeCell ref="AK58:AW77"/>
    <mergeCell ref="BB58:BN77"/>
    <mergeCell ref="BJ10:BL13"/>
    <mergeCell ref="BM10:BO13"/>
    <mergeCell ref="AK14:AW33"/>
    <mergeCell ref="BB14:BN33"/>
    <mergeCell ref="AP10:AR13"/>
    <mergeCell ref="AS10:AU13"/>
    <mergeCell ref="AV10:AX13"/>
    <mergeCell ref="BA10:BC13"/>
    <mergeCell ref="BD10:BF13"/>
    <mergeCell ref="BG10:BI13"/>
    <mergeCell ref="AM10:AO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2026-08-02T16:59:29Z</dcterms:created>
  <dcterms:modified xsi:type="dcterms:W3CDTF">2026-09-07T02:37:43Z</dcterms:modified>
  <cp:category/>
  <cp:contentStatus/>
</cp:coreProperties>
</file>