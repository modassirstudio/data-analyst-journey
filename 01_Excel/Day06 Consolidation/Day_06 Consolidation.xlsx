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slicerCaches/slicerCache1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slicers/slicer1.xml" ContentType="application/vnd.ms-excel.slicer+xml"/>
  <Override PartName="/xl/pivotTables/pivotTable2.xml" ContentType="application/vnd.openxmlformats-officedocument.spreadsheetml.pivot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516"/>
  <workbookPr hidePivotFieldList="1" defaultThemeVersion="166925"/>
  <xr:revisionPtr revIDLastSave="215" documentId="11_E60897F41BE170836B02CE998F75CCDC64E183C8" xr6:coauthVersionLast="47" xr6:coauthVersionMax="47" xr10:uidLastSave="{15D07617-5ECD-4C06-854E-FBCF5224CDAA}"/>
  <bookViews>
    <workbookView xWindow="240" yWindow="105" windowWidth="14805" windowHeight="8010" xr2:uid="{00000000-000D-0000-FFFF-FFFF00000000}"/>
  </bookViews>
  <sheets>
    <sheet name="Day_06" sheetId="2" r:id="rId1"/>
    <sheet name="Practices" sheetId="1" r:id="rId2"/>
  </sheets>
  <definedNames>
    <definedName name="Slicer_Category">#N/A</definedName>
  </definedNames>
  <calcPr calcId="191028"/>
  <pivotCaches>
    <pivotCache cacheId="428" r:id="rId3"/>
    <pivotCache cacheId="439" r:id="rId4"/>
  </pivotCaches>
  <extLst>
    <ext xmlns:x14="http://schemas.microsoft.com/office/spreadsheetml/2009/9/main" uri="{BBE1A952-AA13-448e-AADC-164F8A28A991}">
      <x14:slicerCaches>
        <x14:slicerCache r:id="rId5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N5" i="2" l="1"/>
  <c r="N4" i="2"/>
  <c r="N3" i="2"/>
  <c r="K6" i="2"/>
  <c r="K5" i="2"/>
  <c r="K4" i="2"/>
  <c r="K3" i="2"/>
  <c r="F8" i="1"/>
  <c r="F7" i="1"/>
  <c r="F4" i="1"/>
  <c r="F3" i="1"/>
</calcChain>
</file>

<file path=xl/sharedStrings.xml><?xml version="1.0" encoding="utf-8"?>
<sst xmlns="http://schemas.openxmlformats.org/spreadsheetml/2006/main" count="65" uniqueCount="30">
  <si>
    <t>Product</t>
  </si>
  <si>
    <t>Price</t>
  </si>
  <si>
    <t>Category</t>
  </si>
  <si>
    <t>Stock</t>
  </si>
  <si>
    <t xml:space="preserve">
Task 1. XLOOKUP — Find the price of "Chocolate".
Task 2. XLOOKUP — Find which product costs ₹35.
Task 3. XLOOKUP — Find the category of "Chips".
Task 4. XLOOKUP — Find the stock of "Water". If not found, show "Out of stock".
Task 5. INDEX+MATCH — Find the price of "Marker".
Task 6. INDEX+MATCH — Find which product costs ₹25.
Task 7. INDEX+MATCH — Find the category of "Biscuits".
Task 8. Build a Pivot Table showing Total Stock per Category.
Task 9. In the Pivot, add a filter to show only categories with stock &gt; 300.
Task 10. Add a slicer to the Pivot for Category.</t>
  </si>
  <si>
    <t>Pen</t>
  </si>
  <si>
    <t>Stationery</t>
  </si>
  <si>
    <t>XLOOKUP</t>
  </si>
  <si>
    <t>INDEX + MATCH</t>
  </si>
  <si>
    <t>Pivot Tables</t>
  </si>
  <si>
    <t>Notebook</t>
  </si>
  <si>
    <t>Sum of Stock</t>
  </si>
  <si>
    <t>Coke</t>
  </si>
  <si>
    <t>Beverage</t>
  </si>
  <si>
    <t>Chips</t>
  </si>
  <si>
    <t>Snacks</t>
  </si>
  <si>
    <t>Water</t>
  </si>
  <si>
    <t>Chocolate</t>
  </si>
  <si>
    <t>Grand Total</t>
  </si>
  <si>
    <t>Marker</t>
  </si>
  <si>
    <t>Juice</t>
  </si>
  <si>
    <t>Biscuits</t>
  </si>
  <si>
    <t>Eraser</t>
  </si>
  <si>
    <t>Pivot Table</t>
  </si>
  <si>
    <r>
      <t>Task 1 (XLOOKUP):</t>
    </r>
    <r>
      <rPr>
        <sz val="12"/>
        <color theme="1" tint="4.9989318521683403E-2"/>
        <rFont val="Quote-Cjk-Patch"/>
        <charset val="1"/>
      </rPr>
      <t xml:space="preserve"> Find the price of "Chocolate".</t>
    </r>
  </si>
  <si>
    <t>Sum of Price</t>
  </si>
  <si>
    <r>
      <t>Task 2 (XLOOKUP):</t>
    </r>
    <r>
      <rPr>
        <sz val="12"/>
        <color theme="1" tint="4.9989318521683403E-2"/>
        <rFont val="Quote-Cjk-Patch"/>
        <charset val="1"/>
      </rPr>
      <t xml:space="preserve"> Find which product costs ₹25.</t>
    </r>
  </si>
  <si>
    <r>
      <t>Task 3 (INDEX+MATCH):</t>
    </r>
    <r>
      <rPr>
        <sz val="12"/>
        <color theme="1" tint="4.9989318521683403E-2"/>
        <rFont val="Quote-Cjk-Patch"/>
        <charset val="1"/>
      </rPr>
      <t xml:space="preserve"> Find the category of "Chips".</t>
    </r>
  </si>
  <si>
    <r>
      <rPr>
        <b/>
        <sz val="12"/>
        <color theme="1" tint="4.9989318521683403E-2"/>
        <rFont val="Quote-Cjk-Patch"/>
      </rPr>
      <t>Task 4 (INDEX+MATCH):</t>
    </r>
    <r>
      <rPr>
        <sz val="12"/>
        <color theme="1" tint="4.9989318521683403E-2"/>
        <rFont val="Quote-Cjk-Patch"/>
      </rPr>
      <t xml:space="preserve"> Find the price of "Marker".</t>
    </r>
  </si>
  <si>
    <r>
      <t>Task 5 (Pivot):</t>
    </r>
    <r>
      <rPr>
        <sz val="12"/>
        <color theme="1" tint="4.9989318521683403E-2"/>
        <rFont val="Quote-Cjk-Patch"/>
        <charset val="1"/>
      </rPr>
      <t xml:space="preserve"> Build a Pivot showing total price per category.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</si>
</sst>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>
    <font>
      <sz val="11"/>
      <color theme="1"/>
      <name val="Calibri"/>
      <family val="2"/>
      <scheme val="minor"/>
    </font>
    <font>
      <sz val="13"/>
      <color theme="1"/>
      <name val="Quote-Cjk-Patch"/>
      <charset val="1"/>
    </font>
    <font>
      <b/>
      <sz val="13"/>
      <color theme="1"/>
      <name val="Calibri"/>
      <scheme val="minor"/>
    </font>
    <font>
      <sz val="13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 tint="4.9989318521683403E-2"/>
      <name val="Calibri"/>
      <family val="2"/>
      <scheme val="minor"/>
    </font>
    <font>
      <sz val="12"/>
      <color theme="1" tint="4.9989318521683403E-2"/>
      <name val="Quote-Cjk-Patch"/>
      <charset val="1"/>
    </font>
    <font>
      <sz val="12"/>
      <color theme="1" tint="4.9989318521683403E-2"/>
      <name val="Quote-Cjk-Patch"/>
    </font>
    <font>
      <b/>
      <sz val="12"/>
      <color theme="1" tint="4.9989318521683403E-2"/>
      <name val="Quote-Cjk-Patch"/>
    </font>
    <font>
      <sz val="12"/>
      <color theme="1"/>
      <name val="Calibri"/>
      <family val="2"/>
      <scheme val="minor"/>
    </font>
    <font>
      <b/>
      <sz val="14"/>
      <color rgb="FF000000"/>
      <name val="Calibri"/>
      <charset val="1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2"/>
      <color theme="1"/>
      <name val="Calibri"/>
      <scheme val="minor"/>
    </font>
    <font>
      <sz val="12"/>
      <color theme="1"/>
      <name val="Calibri"/>
      <scheme val="minor"/>
    </font>
    <font>
      <sz val="12"/>
      <color theme="1" tint="4.9989318521683403E-2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3" fillId="0" borderId="1" xfId="0" applyNumberFormat="1" applyFont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6" fillId="0" borderId="3" xfId="0" applyFont="1" applyBorder="1" applyAlignment="1">
      <alignment horizontal="left" vertical="center" indent="1"/>
    </xf>
    <xf numFmtId="0" fontId="6" fillId="0" borderId="4" xfId="0" applyFont="1" applyBorder="1" applyAlignment="1">
      <alignment horizontal="left" vertical="center" indent="1"/>
    </xf>
    <xf numFmtId="0" fontId="6" fillId="0" borderId="5" xfId="0" applyFont="1" applyBorder="1" applyAlignment="1">
      <alignment horizontal="left" vertical="center" indent="1"/>
    </xf>
    <xf numFmtId="0" fontId="7" fillId="0" borderId="3" xfId="0" applyFont="1" applyBorder="1" applyAlignment="1">
      <alignment horizontal="left" vertical="center" indent="1"/>
    </xf>
    <xf numFmtId="0" fontId="7" fillId="0" borderId="4" xfId="0" applyFont="1" applyBorder="1" applyAlignment="1">
      <alignment horizontal="left" vertical="center" indent="1"/>
    </xf>
    <xf numFmtId="0" fontId="7" fillId="0" borderId="5" xfId="0" applyFont="1" applyBorder="1" applyAlignment="1">
      <alignment horizontal="left" vertical="center" indent="1"/>
    </xf>
    <xf numFmtId="0" fontId="4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left" vertical="center" indent="1"/>
    </xf>
    <xf numFmtId="0" fontId="9" fillId="0" borderId="6" xfId="0" applyFont="1" applyBorder="1" applyAlignment="1">
      <alignment horizontal="left" vertical="top" wrapText="1" indent="1"/>
    </xf>
    <xf numFmtId="0" fontId="9" fillId="0" borderId="7" xfId="0" applyFont="1" applyBorder="1" applyAlignment="1">
      <alignment horizontal="left" vertical="top" wrapText="1" indent="1"/>
    </xf>
    <xf numFmtId="0" fontId="9" fillId="0" borderId="8" xfId="0" applyFont="1" applyBorder="1" applyAlignment="1">
      <alignment horizontal="left" vertical="top" wrapText="1" indent="1"/>
    </xf>
    <xf numFmtId="0" fontId="9" fillId="0" borderId="9" xfId="0" applyFont="1" applyBorder="1" applyAlignment="1">
      <alignment horizontal="left" vertical="top" wrapText="1" indent="1"/>
    </xf>
    <xf numFmtId="0" fontId="9" fillId="0" borderId="0" xfId="0" applyFont="1" applyBorder="1" applyAlignment="1">
      <alignment horizontal="left" vertical="top" wrapText="1" indent="1"/>
    </xf>
    <xf numFmtId="0" fontId="9" fillId="0" borderId="10" xfId="0" applyFont="1" applyBorder="1" applyAlignment="1">
      <alignment horizontal="left" vertical="top" wrapText="1" indent="1"/>
    </xf>
    <xf numFmtId="0" fontId="9" fillId="0" borderId="11" xfId="0" applyFont="1" applyBorder="1" applyAlignment="1">
      <alignment horizontal="left" vertical="top" wrapText="1" indent="1"/>
    </xf>
    <xf numFmtId="0" fontId="9" fillId="0" borderId="12" xfId="0" applyFont="1" applyBorder="1" applyAlignment="1">
      <alignment horizontal="left" vertical="top" wrapText="1" indent="1"/>
    </xf>
    <xf numFmtId="0" fontId="9" fillId="0" borderId="13" xfId="0" applyFont="1" applyBorder="1" applyAlignment="1">
      <alignment horizontal="left" vertical="top" wrapText="1" indent="1"/>
    </xf>
    <xf numFmtId="0" fontId="10" fillId="0" borderId="1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0" fillId="0" borderId="14" xfId="0" applyFont="1" applyBorder="1" applyAlignment="1">
      <alignment horizontal="center" vertical="center"/>
    </xf>
    <xf numFmtId="0" fontId="11" fillId="0" borderId="14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3" fillId="2" borderId="1" xfId="0" applyFont="1" applyFill="1" applyBorder="1" applyAlignment="1">
      <alignment horizontal="center" vertical="center" wrapText="1"/>
    </xf>
    <xf numFmtId="0" fontId="14" fillId="2" borderId="1" xfId="0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/>
    </xf>
    <xf numFmtId="0" fontId="9" fillId="0" borderId="1" xfId="0" applyNumberFormat="1" applyFont="1" applyBorder="1" applyAlignment="1">
      <alignment horizontal="center" vertical="center"/>
    </xf>
    <xf numFmtId="0" fontId="15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58"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font>
        <sz val="13"/>
      </font>
    </dxf>
    <dxf>
      <font>
        <sz val="13"/>
      </font>
    </dxf>
    <dxf>
      <font>
        <sz val="13"/>
      </font>
    </dxf>
    <dxf>
      <font>
        <sz val="13"/>
      </font>
    </dxf>
    <dxf>
      <font>
        <sz val="13"/>
      </font>
    </dxf>
    <dxf>
      <font>
        <sz val="13"/>
      </font>
    </dxf>
    <dxf>
      <font>
        <color theme="1"/>
      </font>
    </dxf>
    <dxf>
      <font>
        <color theme="1"/>
      </font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ont>
        <color theme="1" tint="4.9989318521683403E-2"/>
      </font>
    </dxf>
    <dxf>
      <font>
        <color theme="1" tint="4.9989318521683403E-2"/>
      </font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ont>
        <color theme="1" tint="4.9989318521683403E-2"/>
      </font>
    </dxf>
    <dxf>
      <font>
        <color theme="1" tint="4.9989318521683403E-2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pivotCacheDefinition" Target="pivotCache/pivotCacheDefinition1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microsoft.com/office/2007/relationships/slicerCache" Target="slicerCaches/slicerCache1.xml"/><Relationship Id="rId4" Type="http://schemas.openxmlformats.org/officeDocument/2006/relationships/pivotCacheDefinition" Target="pivotCache/pivotCacheDefinition2.xml"/><Relationship Id="rId9" Type="http://schemas.openxmlformats.org/officeDocument/2006/relationships/calcChain" Target="calcChain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600075</xdr:colOff>
      <xdr:row>7</xdr:row>
      <xdr:rowOff>390525</xdr:rowOff>
    </xdr:from>
    <xdr:to>
      <xdr:col>17</xdr:col>
      <xdr:colOff>552450</xdr:colOff>
      <xdr:row>11</xdr:row>
      <xdr:rowOff>152400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2" name="Category">
              <a:extLst>
                <a:ext uri="{FF2B5EF4-FFF2-40B4-BE49-F238E27FC236}">
                  <a16:creationId xmlns:a16="http://schemas.microsoft.com/office/drawing/2014/main" id="{ADD0FD2F-926D-6C39-38D2-DED00A42ECD1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ategory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5963900" y="3257550"/>
              <a:ext cx="1952625" cy="14001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283.933135879626" createdVersion="8" refreshedVersion="8" minRefreshableVersion="3" recordCount="7" xr:uid="{09FC7247-1047-4B78-B297-DA98FDD56857}">
  <cacheSource type="worksheet">
    <worksheetSource ref="B2:D9" sheet="Practices"/>
  </cacheSource>
  <cacheFields count="3">
    <cacheField name="Product" numFmtId="0">
      <sharedItems/>
    </cacheField>
    <cacheField name="Price" numFmtId="0">
      <sharedItems containsSemiMixedTypes="0" containsString="0" containsNumber="1" containsInteger="1" minValue="10" maxValue="50"/>
    </cacheField>
    <cacheField name="Category" numFmtId="0">
      <sharedItems count="3">
        <s v="Stationery"/>
        <s v="Beverage"/>
        <s v="Snacks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288.852881712963" createdVersion="8" refreshedVersion="8" minRefreshableVersion="3" recordCount="10" xr:uid="{8EF3B9E3-672D-4EA1-BE23-1C29599AB81C}">
  <cacheSource type="worksheet">
    <worksheetSource ref="A1:D11" sheet="Day_06"/>
  </cacheSource>
  <cacheFields count="4">
    <cacheField name="Product" numFmtId="0">
      <sharedItems/>
    </cacheField>
    <cacheField name="Price" numFmtId="0">
      <sharedItems containsSemiMixedTypes="0" containsString="0" containsNumber="1" containsInteger="1" minValue="5" maxValue="50"/>
    </cacheField>
    <cacheField name="Category" numFmtId="0">
      <sharedItems count="3">
        <s v="Stationery"/>
        <s v="Beverage"/>
        <s v="Snacks"/>
      </sharedItems>
    </cacheField>
    <cacheField name="Stock" numFmtId="0">
      <sharedItems containsSemiMixedTypes="0" containsString="0" containsNumber="1" containsInteger="1" minValue="0" maxValue="500"/>
    </cacheField>
  </cacheFields>
  <extLst>
    <ext xmlns:x14="http://schemas.microsoft.com/office/spreadsheetml/2009/9/main" uri="{725AE2AE-9491-48be-B2B4-4EB974FC3084}">
      <x14:pivotCacheDefinition pivotCacheId="397373619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">
  <r>
    <s v="Pen"/>
    <n v="10"/>
    <x v="0"/>
  </r>
  <r>
    <s v="Notebook"/>
    <n v="50"/>
    <x v="0"/>
  </r>
  <r>
    <s v="Coke"/>
    <n v="20"/>
    <x v="1"/>
  </r>
  <r>
    <s v="Chips"/>
    <n v="30"/>
    <x v="2"/>
  </r>
  <r>
    <s v="Water"/>
    <n v="15"/>
    <x v="1"/>
  </r>
  <r>
    <s v="Chocolate"/>
    <n v="45"/>
    <x v="2"/>
  </r>
  <r>
    <s v="Marker"/>
    <n v="25"/>
    <x v="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">
  <r>
    <s v="Pen"/>
    <n v="10"/>
    <x v="0"/>
    <n v="200"/>
  </r>
  <r>
    <s v="Notebook"/>
    <n v="50"/>
    <x v="0"/>
    <n v="100"/>
  </r>
  <r>
    <s v="Coke"/>
    <n v="20"/>
    <x v="1"/>
    <n v="300"/>
  </r>
  <r>
    <s v="Chips"/>
    <n v="30"/>
    <x v="2"/>
    <n v="150"/>
  </r>
  <r>
    <s v="Water"/>
    <n v="15"/>
    <x v="1"/>
    <n v="500"/>
  </r>
  <r>
    <s v="Chocolate"/>
    <n v="45"/>
    <x v="2"/>
    <n v="80"/>
  </r>
  <r>
    <s v="Marker"/>
    <n v="25"/>
    <x v="0"/>
    <n v="120"/>
  </r>
  <r>
    <s v="Juice"/>
    <n v="35"/>
    <x v="1"/>
    <n v="200"/>
  </r>
  <r>
    <s v="Biscuits"/>
    <n v="12"/>
    <x v="2"/>
    <n v="400"/>
  </r>
  <r>
    <s v="Eraser"/>
    <n v="5"/>
    <x v="0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FF38C1A-B56D-4D42-BE0E-AD9EF1E8BCF8}" name="PivotTable1" cacheId="43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Q3:R7" firstHeaderRow="1" firstDataRow="1" firstDataCol="1"/>
  <pivotFields count="4">
    <pivotField compact="0" outline="0" showAll="0"/>
    <pivotField compact="0" outline="0" showAll="0"/>
    <pivotField axis="axisRow" compact="0" outline="0" showAll="0">
      <items count="4">
        <item x="1"/>
        <item x="2"/>
        <item x="0"/>
        <item t="default"/>
      </items>
    </pivotField>
    <pivotField dataField="1" compact="0" outline="0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Stock" fld="3" baseField="0" baseItem="0"/>
  </dataFields>
  <formats count="28">
    <format dxfId="30">
      <pivotArea type="all" dataOnly="0" outline="0" fieldPosition="0"/>
    </format>
    <format dxfId="31">
      <pivotArea outline="0" collapsedLevelsAreSubtotals="1" fieldPosition="0"/>
    </format>
    <format dxfId="32">
      <pivotArea field="2" type="button" dataOnly="0" labelOnly="1" outline="0" axis="axisRow" fieldPosition="0"/>
    </format>
    <format dxfId="33">
      <pivotArea dataOnly="0" labelOnly="1" outline="0" fieldPosition="0">
        <references count="1">
          <reference field="2" count="0"/>
        </references>
      </pivotArea>
    </format>
    <format dxfId="34">
      <pivotArea dataOnly="0" labelOnly="1" grandRow="1" outline="0" fieldPosition="0"/>
    </format>
    <format dxfId="35">
      <pivotArea dataOnly="0" labelOnly="1" outline="0" axis="axisValues" fieldPosition="0"/>
    </format>
    <format dxfId="36">
      <pivotArea type="all" dataOnly="0" outline="0" fieldPosition="0"/>
    </format>
    <format dxfId="37">
      <pivotArea outline="0" collapsedLevelsAreSubtotals="1" fieldPosition="0"/>
    </format>
    <format dxfId="38">
      <pivotArea field="2" type="button" dataOnly="0" labelOnly="1" outline="0" axis="axisRow" fieldPosition="0"/>
    </format>
    <format dxfId="39">
      <pivotArea dataOnly="0" labelOnly="1" outline="0" fieldPosition="0">
        <references count="1">
          <reference field="2" count="0"/>
        </references>
      </pivotArea>
    </format>
    <format dxfId="40">
      <pivotArea dataOnly="0" labelOnly="1" grandRow="1" outline="0" fieldPosition="0"/>
    </format>
    <format dxfId="41">
      <pivotArea dataOnly="0" labelOnly="1" outline="0" axis="axisValues" fieldPosition="0"/>
    </format>
    <format dxfId="42">
      <pivotArea type="all" dataOnly="0" outline="0" fieldPosition="0"/>
    </format>
    <format dxfId="43">
      <pivotArea outline="0" collapsedLevelsAreSubtotals="1" fieldPosition="0"/>
    </format>
    <format dxfId="44">
      <pivotArea field="2" type="button" dataOnly="0" labelOnly="1" outline="0" axis="axisRow" fieldPosition="0"/>
    </format>
    <format dxfId="45">
      <pivotArea dataOnly="0" labelOnly="1" outline="0" fieldPosition="0">
        <references count="1">
          <reference field="2" count="0"/>
        </references>
      </pivotArea>
    </format>
    <format dxfId="46">
      <pivotArea dataOnly="0" labelOnly="1" grandRow="1" outline="0" fieldPosition="0"/>
    </format>
    <format dxfId="47">
      <pivotArea dataOnly="0" labelOnly="1" outline="0" axis="axisValues" fieldPosition="0"/>
    </format>
    <format dxfId="48">
      <pivotArea type="all" dataOnly="0" outline="0" fieldPosition="0"/>
    </format>
    <format dxfId="49">
      <pivotArea outline="0" collapsedLevelsAreSubtotals="1" fieldPosition="0"/>
    </format>
    <format dxfId="50">
      <pivotArea field="2" type="button" dataOnly="0" labelOnly="1" outline="0" axis="axisRow" fieldPosition="0"/>
    </format>
    <format dxfId="51">
      <pivotArea dataOnly="0" labelOnly="1" outline="0" fieldPosition="0">
        <references count="1">
          <reference field="2" count="0"/>
        </references>
      </pivotArea>
    </format>
    <format dxfId="52">
      <pivotArea dataOnly="0" labelOnly="1" grandRow="1" outline="0" fieldPosition="0"/>
    </format>
    <format dxfId="53">
      <pivotArea dataOnly="0" labelOnly="1" outline="0" axis="axisValues" fieldPosition="0"/>
    </format>
    <format dxfId="54">
      <pivotArea field="2" type="button" dataOnly="0" labelOnly="1" outline="0" axis="axisRow" fieldPosition="0"/>
    </format>
    <format dxfId="55">
      <pivotArea dataOnly="0" labelOnly="1" outline="0" axis="axisValues" fieldPosition="0"/>
    </format>
    <format dxfId="56">
      <pivotArea field="2" type="button" dataOnly="0" labelOnly="1" outline="0" axis="axisRow" fieldPosition="0"/>
    </format>
    <format dxfId="57">
      <pivotArea dataOnly="0" labelOnly="1" outline="0" axis="axisValues" fieldPosition="0"/>
    </format>
  </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A574188-51C1-4842-B154-7158CF627446}" name="PivotTable1" cacheId="42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H3:I7" firstHeaderRow="1" firstDataRow="1" firstDataCol="1"/>
  <pivotFields count="3">
    <pivotField compact="0" outline="0" showAll="0"/>
    <pivotField dataField="1" compact="0" outline="0" showAll="0"/>
    <pivotField axis="axisRow" compact="0" outline="0" showAll="0">
      <items count="4">
        <item x="1"/>
        <item x="2"/>
        <item x="0"/>
        <item t="default"/>
      </items>
    </pivotField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Price" fld="1" baseField="0" baseItem="0"/>
  </dataFields>
  <formats count="30">
    <format dxfId="0">
      <pivotArea type="all" dataOnly="0" outline="0" fieldPosition="0"/>
    </format>
    <format dxfId="1">
      <pivotArea outline="0" collapsedLevelsAreSubtotals="1" fieldPosition="0"/>
    </format>
    <format dxfId="2">
      <pivotArea field="2" type="button" dataOnly="0" labelOnly="1" outline="0" axis="axisRow" fieldPosition="0"/>
    </format>
    <format dxfId="3">
      <pivotArea dataOnly="0" labelOnly="1" outline="0" fieldPosition="0">
        <references count="1">
          <reference field="2" count="0"/>
        </references>
      </pivotArea>
    </format>
    <format dxfId="4">
      <pivotArea dataOnly="0" labelOnly="1" grandRow="1" outline="0" fieldPosition="0"/>
    </format>
    <format dxfId="5">
      <pivotArea dataOnly="0" labelOnly="1" outline="0" axis="axisValues" fieldPosition="0"/>
    </format>
    <format dxfId="6">
      <pivotArea type="all" dataOnly="0" outline="0" fieldPosition="0"/>
    </format>
    <format dxfId="7">
      <pivotArea outline="0" collapsedLevelsAreSubtotals="1" fieldPosition="0"/>
    </format>
    <format dxfId="8">
      <pivotArea field="2" type="button" dataOnly="0" labelOnly="1" outline="0" axis="axisRow" fieldPosition="0"/>
    </format>
    <format dxfId="9">
      <pivotArea dataOnly="0" labelOnly="1" outline="0" fieldPosition="0">
        <references count="1">
          <reference field="2" count="0"/>
        </references>
      </pivotArea>
    </format>
    <format dxfId="10">
      <pivotArea dataOnly="0" labelOnly="1" grandRow="1" outline="0" fieldPosition="0"/>
    </format>
    <format dxfId="11">
      <pivotArea dataOnly="0" labelOnly="1" outline="0" axis="axisValues" fieldPosition="0"/>
    </format>
    <format dxfId="12">
      <pivotArea type="all" dataOnly="0" outline="0" fieldPosition="0"/>
    </format>
    <format dxfId="13">
      <pivotArea outline="0" collapsedLevelsAreSubtotals="1" fieldPosition="0"/>
    </format>
    <format dxfId="14">
      <pivotArea field="2" type="button" dataOnly="0" labelOnly="1" outline="0" axis="axisRow" fieldPosition="0"/>
    </format>
    <format dxfId="15">
      <pivotArea dataOnly="0" labelOnly="1" outline="0" fieldPosition="0">
        <references count="1">
          <reference field="2" count="0"/>
        </references>
      </pivotArea>
    </format>
    <format dxfId="16">
      <pivotArea dataOnly="0" labelOnly="1" grandRow="1" outline="0" fieldPosition="0"/>
    </format>
    <format dxfId="17">
      <pivotArea dataOnly="0" labelOnly="1" outline="0" axis="axisValues" fieldPosition="0"/>
    </format>
    <format dxfId="18">
      <pivotArea type="all" dataOnly="0" outline="0" fieldPosition="0"/>
    </format>
    <format dxfId="19">
      <pivotArea outline="0" collapsedLevelsAreSubtotals="1" fieldPosition="0"/>
    </format>
    <format dxfId="20">
      <pivotArea field="2" type="button" dataOnly="0" labelOnly="1" outline="0" axis="axisRow" fieldPosition="0"/>
    </format>
    <format dxfId="21">
      <pivotArea dataOnly="0" labelOnly="1" outline="0" fieldPosition="0">
        <references count="1">
          <reference field="2" count="0"/>
        </references>
      </pivotArea>
    </format>
    <format dxfId="22">
      <pivotArea dataOnly="0" labelOnly="1" grandRow="1" outline="0" fieldPosition="0"/>
    </format>
    <format dxfId="23">
      <pivotArea dataOnly="0" labelOnly="1" outline="0" axis="axisValues" fieldPosition="0"/>
    </format>
    <format dxfId="24">
      <pivotArea field="2" type="button" dataOnly="0" labelOnly="1" outline="0" axis="axisRow" fieldPosition="0"/>
    </format>
    <format dxfId="25">
      <pivotArea dataOnly="0" labelOnly="1" outline="0" axis="axisValues" fieldPosition="0"/>
    </format>
    <format dxfId="26">
      <pivotArea field="2" type="button" dataOnly="0" labelOnly="1" outline="0" axis="axisRow" fieldPosition="0"/>
    </format>
    <format dxfId="27">
      <pivotArea dataOnly="0" labelOnly="1" outline="0" axis="axisValues" fieldPosition="0"/>
    </format>
    <format dxfId="28">
      <pivotArea field="2" type="button" dataOnly="0" labelOnly="1" outline="0" axis="axisRow" fieldPosition="0"/>
    </format>
    <format dxfId="29">
      <pivotArea dataOnly="0" labelOnly="1" outline="0" axis="axisValues" fieldPosition="0"/>
    </format>
  </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Category" xr10:uid="{E2C1566B-B113-4211-B6FB-13B05EA9B67D}" sourceName="Category">
  <pivotTables>
    <pivotTable tabId="2" name="PivotTable1"/>
  </pivotTables>
  <data>
    <tabular pivotCacheId="397373619">
      <items count="3">
        <i x="1" s="1"/>
        <i x="2" s="1"/>
        <i x="0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Category" xr10:uid="{A1F80802-9EE9-4163-A566-F3E0C26AC718}" cache="Slicer_Category" caption="Category" rowHeight="228600"/>
</slicer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9EC234-1CFD-4EAB-A98D-1C29A00D2E7C}">
  <dimension ref="A1:R11"/>
  <sheetViews>
    <sheetView tabSelected="1" topLeftCell="E1" workbookViewId="0">
      <selection activeCell="J8" sqref="J8"/>
    </sheetView>
  </sheetViews>
  <sheetFormatPr defaultRowHeight="15"/>
  <cols>
    <col min="1" max="4" width="19.7109375" customWidth="1"/>
    <col min="6" max="9" width="21.28515625" customWidth="1"/>
    <col min="14" max="14" width="11.5703125" customWidth="1"/>
    <col min="17" max="17" width="20.85546875" customWidth="1"/>
    <col min="18" max="18" width="20.42578125" customWidth="1"/>
  </cols>
  <sheetData>
    <row r="1" spans="1:18" ht="32.25" customHeight="1">
      <c r="A1" s="29" t="s">
        <v>0</v>
      </c>
      <c r="B1" s="29" t="s">
        <v>1</v>
      </c>
      <c r="C1" s="29" t="s">
        <v>2</v>
      </c>
      <c r="D1" s="29" t="s">
        <v>3</v>
      </c>
      <c r="F1" s="15" t="s">
        <v>4</v>
      </c>
      <c r="G1" s="16"/>
      <c r="H1" s="16"/>
      <c r="I1" s="17"/>
    </row>
    <row r="2" spans="1:18" ht="32.25" customHeight="1">
      <c r="A2" s="30" t="s">
        <v>5</v>
      </c>
      <c r="B2" s="30">
        <v>10</v>
      </c>
      <c r="C2" s="30" t="s">
        <v>6</v>
      </c>
      <c r="D2" s="30">
        <v>200</v>
      </c>
      <c r="F2" s="18"/>
      <c r="G2" s="19"/>
      <c r="H2" s="19"/>
      <c r="I2" s="20"/>
      <c r="K2" s="26" t="s">
        <v>7</v>
      </c>
      <c r="L2" s="27"/>
      <c r="N2" s="24" t="s">
        <v>8</v>
      </c>
      <c r="O2" s="25"/>
      <c r="Q2" s="26" t="s">
        <v>9</v>
      </c>
      <c r="R2" s="27"/>
    </row>
    <row r="3" spans="1:18" ht="32.25" customHeight="1">
      <c r="A3" s="30" t="s">
        <v>10</v>
      </c>
      <c r="B3" s="30">
        <v>50</v>
      </c>
      <c r="C3" s="30" t="s">
        <v>6</v>
      </c>
      <c r="D3" s="30">
        <v>100</v>
      </c>
      <c r="F3" s="18"/>
      <c r="G3" s="19"/>
      <c r="H3" s="19"/>
      <c r="I3" s="20"/>
      <c r="K3" s="28">
        <f>_xlfn.XLOOKUP("Chocolate", A2:A11,B2:B11)</f>
        <v>45</v>
      </c>
      <c r="L3" s="28"/>
      <c r="N3" s="28">
        <f>INDEX(B2:B11, MATCH("Marker",A2:A11, 0))</f>
        <v>25</v>
      </c>
      <c r="O3" s="28"/>
      <c r="Q3" s="33" t="s">
        <v>2</v>
      </c>
      <c r="R3" s="33" t="s">
        <v>11</v>
      </c>
    </row>
    <row r="4" spans="1:18" ht="32.25" customHeight="1">
      <c r="A4" s="30" t="s">
        <v>12</v>
      </c>
      <c r="B4" s="30">
        <v>20</v>
      </c>
      <c r="C4" s="30" t="s">
        <v>13</v>
      </c>
      <c r="D4" s="30">
        <v>300</v>
      </c>
      <c r="F4" s="18"/>
      <c r="G4" s="19"/>
      <c r="H4" s="19"/>
      <c r="I4" s="20"/>
      <c r="K4" s="28" t="str">
        <f>_xlfn.XLOOKUP(35, B2:B11,A2:A11)</f>
        <v>Juice</v>
      </c>
      <c r="L4" s="28"/>
      <c r="N4" s="28" t="str">
        <f>INDEX(A2:A11, MATCH(25,B2:B11,0))</f>
        <v>Marker</v>
      </c>
      <c r="O4" s="28"/>
      <c r="Q4" s="31" t="s">
        <v>13</v>
      </c>
      <c r="R4" s="32">
        <v>1000</v>
      </c>
    </row>
    <row r="5" spans="1:18" ht="32.25" customHeight="1">
      <c r="A5" s="30" t="s">
        <v>14</v>
      </c>
      <c r="B5" s="30">
        <v>30</v>
      </c>
      <c r="C5" s="30" t="s">
        <v>15</v>
      </c>
      <c r="D5" s="30">
        <v>150</v>
      </c>
      <c r="F5" s="18"/>
      <c r="G5" s="19"/>
      <c r="H5" s="19"/>
      <c r="I5" s="20"/>
      <c r="K5" s="28" t="str">
        <f>_xlfn.XLOOKUP("Chips",A2:A11,C2:C11)</f>
        <v>Snacks</v>
      </c>
      <c r="L5" s="28"/>
      <c r="N5" s="28" t="str">
        <f>INDEX(C2:C11, MATCH("Biscuits", A2:A11, 0))</f>
        <v>Snacks</v>
      </c>
      <c r="O5" s="28"/>
      <c r="Q5" s="31" t="s">
        <v>15</v>
      </c>
      <c r="R5" s="32">
        <v>630</v>
      </c>
    </row>
    <row r="6" spans="1:18" ht="32.25" customHeight="1">
      <c r="A6" s="30" t="s">
        <v>16</v>
      </c>
      <c r="B6" s="30">
        <v>15</v>
      </c>
      <c r="C6" s="30" t="s">
        <v>13</v>
      </c>
      <c r="D6" s="30">
        <v>500</v>
      </c>
      <c r="F6" s="18"/>
      <c r="G6" s="19"/>
      <c r="H6" s="19"/>
      <c r="I6" s="20"/>
      <c r="K6" s="28">
        <f>_xlfn.XLOOKUP("Water",A2:A11,D2:D11, "Out of stock")</f>
        <v>500</v>
      </c>
      <c r="L6" s="28"/>
      <c r="Q6" s="31" t="s">
        <v>6</v>
      </c>
      <c r="R6" s="32">
        <v>420</v>
      </c>
    </row>
    <row r="7" spans="1:18" ht="32.25" customHeight="1">
      <c r="A7" s="30" t="s">
        <v>17</v>
      </c>
      <c r="B7" s="30">
        <v>45</v>
      </c>
      <c r="C7" s="30" t="s">
        <v>15</v>
      </c>
      <c r="D7" s="30">
        <v>80</v>
      </c>
      <c r="F7" s="18"/>
      <c r="G7" s="19"/>
      <c r="H7" s="19"/>
      <c r="I7" s="20"/>
      <c r="Q7" s="31" t="s">
        <v>18</v>
      </c>
      <c r="R7" s="32">
        <v>2050</v>
      </c>
    </row>
    <row r="8" spans="1:18" ht="32.25" customHeight="1">
      <c r="A8" s="30" t="s">
        <v>19</v>
      </c>
      <c r="B8" s="30">
        <v>25</v>
      </c>
      <c r="C8" s="30" t="s">
        <v>6</v>
      </c>
      <c r="D8" s="30">
        <v>120</v>
      </c>
      <c r="F8" s="18"/>
      <c r="G8" s="19"/>
      <c r="H8" s="19"/>
      <c r="I8" s="20"/>
    </row>
    <row r="9" spans="1:18" ht="32.25" customHeight="1">
      <c r="A9" s="30" t="s">
        <v>20</v>
      </c>
      <c r="B9" s="30">
        <v>35</v>
      </c>
      <c r="C9" s="30" t="s">
        <v>13</v>
      </c>
      <c r="D9" s="30">
        <v>200</v>
      </c>
      <c r="F9" s="18"/>
      <c r="G9" s="19"/>
      <c r="H9" s="19"/>
      <c r="I9" s="20"/>
    </row>
    <row r="10" spans="1:18" ht="32.25" customHeight="1">
      <c r="A10" s="30" t="s">
        <v>21</v>
      </c>
      <c r="B10" s="30">
        <v>12</v>
      </c>
      <c r="C10" s="30" t="s">
        <v>15</v>
      </c>
      <c r="D10" s="30">
        <v>400</v>
      </c>
      <c r="F10" s="18"/>
      <c r="G10" s="19"/>
      <c r="H10" s="19"/>
      <c r="I10" s="20"/>
    </row>
    <row r="11" spans="1:18" ht="32.25" customHeight="1">
      <c r="A11" s="30" t="s">
        <v>22</v>
      </c>
      <c r="B11" s="30">
        <v>5</v>
      </c>
      <c r="C11" s="30" t="s">
        <v>6</v>
      </c>
      <c r="D11" s="30">
        <v>0</v>
      </c>
      <c r="F11" s="21"/>
      <c r="G11" s="22"/>
      <c r="H11" s="22"/>
      <c r="I11" s="23"/>
    </row>
  </sheetData>
  <mergeCells count="11">
    <mergeCell ref="N4:O4"/>
    <mergeCell ref="N5:O5"/>
    <mergeCell ref="F1:I11"/>
    <mergeCell ref="K2:L2"/>
    <mergeCell ref="N2:O2"/>
    <mergeCell ref="Q2:R2"/>
    <mergeCell ref="K3:L3"/>
    <mergeCell ref="K4:L4"/>
    <mergeCell ref="K5:L5"/>
    <mergeCell ref="K6:L6"/>
    <mergeCell ref="N3:O3"/>
  </mergeCells>
  <pageMargins left="0.7" right="0.7" top="0.75" bottom="0.75" header="0.3" footer="0.3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P9"/>
  <sheetViews>
    <sheetView workbookViewId="0">
      <selection activeCell="H10" sqref="H10"/>
    </sheetView>
  </sheetViews>
  <sheetFormatPr defaultRowHeight="15"/>
  <cols>
    <col min="2" max="4" width="16.140625" customWidth="1"/>
    <col min="6" max="6" width="21.42578125" customWidth="1"/>
    <col min="8" max="9" width="20.42578125" customWidth="1"/>
    <col min="11" max="12" width="14" customWidth="1"/>
    <col min="16" max="16" width="5" customWidth="1"/>
  </cols>
  <sheetData>
    <row r="2" spans="2:16" ht="29.25" customHeight="1">
      <c r="B2" s="2" t="s">
        <v>0</v>
      </c>
      <c r="C2" s="2" t="s">
        <v>1</v>
      </c>
      <c r="D2" s="2" t="s">
        <v>2</v>
      </c>
      <c r="F2" s="6" t="s">
        <v>7</v>
      </c>
      <c r="H2" s="13" t="s">
        <v>23</v>
      </c>
      <c r="I2" s="13"/>
      <c r="K2" s="14" t="s">
        <v>24</v>
      </c>
      <c r="L2" s="14"/>
      <c r="M2" s="14"/>
      <c r="N2" s="14"/>
      <c r="O2" s="14"/>
      <c r="P2" s="14"/>
    </row>
    <row r="3" spans="2:16" ht="29.25" customHeight="1">
      <c r="B3" s="1" t="s">
        <v>5</v>
      </c>
      <c r="C3" s="1">
        <v>10</v>
      </c>
      <c r="D3" s="1" t="s">
        <v>6</v>
      </c>
      <c r="F3" s="3">
        <f>_xlfn.XLOOKUP("Chocolate", B3:B9, C3:C9)</f>
        <v>45</v>
      </c>
      <c r="H3" s="5" t="s">
        <v>2</v>
      </c>
      <c r="I3" s="5" t="s">
        <v>25</v>
      </c>
      <c r="K3" s="7" t="s">
        <v>26</v>
      </c>
      <c r="L3" s="8"/>
      <c r="M3" s="8"/>
      <c r="N3" s="8"/>
      <c r="O3" s="8"/>
      <c r="P3" s="9"/>
    </row>
    <row r="4" spans="2:16" ht="29.25" customHeight="1">
      <c r="B4" s="1" t="s">
        <v>10</v>
      </c>
      <c r="C4" s="1">
        <v>50</v>
      </c>
      <c r="D4" s="1" t="s">
        <v>6</v>
      </c>
      <c r="F4" s="3" t="str">
        <f>_xlfn.XLOOKUP(25,C3:C9,B3:B9)</f>
        <v>Marker</v>
      </c>
      <c r="H4" s="3" t="s">
        <v>13</v>
      </c>
      <c r="I4" s="4">
        <v>35</v>
      </c>
      <c r="K4" s="7" t="s">
        <v>27</v>
      </c>
      <c r="L4" s="8"/>
      <c r="M4" s="8"/>
      <c r="N4" s="8"/>
      <c r="O4" s="8"/>
      <c r="P4" s="9"/>
    </row>
    <row r="5" spans="2:16" ht="29.25" customHeight="1">
      <c r="B5" s="1" t="s">
        <v>12</v>
      </c>
      <c r="C5" s="1">
        <v>20</v>
      </c>
      <c r="D5" s="1" t="s">
        <v>13</v>
      </c>
      <c r="H5" s="3" t="s">
        <v>15</v>
      </c>
      <c r="I5" s="4">
        <v>75</v>
      </c>
      <c r="K5" s="10" t="s">
        <v>28</v>
      </c>
      <c r="L5" s="11"/>
      <c r="M5" s="11"/>
      <c r="N5" s="11"/>
      <c r="O5" s="11"/>
      <c r="P5" s="12"/>
    </row>
    <row r="6" spans="2:16" ht="29.25" customHeight="1">
      <c r="B6" s="1" t="s">
        <v>14</v>
      </c>
      <c r="C6" s="1">
        <v>30</v>
      </c>
      <c r="D6" s="1" t="s">
        <v>15</v>
      </c>
      <c r="F6" s="6" t="s">
        <v>8</v>
      </c>
      <c r="H6" s="3" t="s">
        <v>6</v>
      </c>
      <c r="I6" s="4">
        <v>85</v>
      </c>
      <c r="K6" s="7" t="s">
        <v>29</v>
      </c>
      <c r="L6" s="8"/>
      <c r="M6" s="8"/>
      <c r="N6" s="8"/>
      <c r="O6" s="8"/>
      <c r="P6" s="9"/>
    </row>
    <row r="7" spans="2:16" ht="29.25" customHeight="1">
      <c r="B7" s="1" t="s">
        <v>16</v>
      </c>
      <c r="C7" s="1">
        <v>15</v>
      </c>
      <c r="D7" s="1" t="s">
        <v>13</v>
      </c>
      <c r="F7" s="3" t="str">
        <f>INDEX(D3:D9, MATCH("Chips", B3:B9, 0))</f>
        <v>Snacks</v>
      </c>
      <c r="H7" s="3" t="s">
        <v>18</v>
      </c>
      <c r="I7" s="4">
        <v>195</v>
      </c>
    </row>
    <row r="8" spans="2:16" ht="29.25" customHeight="1">
      <c r="B8" s="1" t="s">
        <v>17</v>
      </c>
      <c r="C8" s="1">
        <v>45</v>
      </c>
      <c r="D8" s="1" t="s">
        <v>15</v>
      </c>
      <c r="F8" s="3">
        <f>INDEX(C3:C9, MATCH("Marker", B3:B9, 0))</f>
        <v>25</v>
      </c>
    </row>
    <row r="9" spans="2:16" ht="29.25" customHeight="1">
      <c r="B9" s="1" t="s">
        <v>19</v>
      </c>
      <c r="C9" s="1">
        <v>25</v>
      </c>
      <c r="D9" s="1" t="s">
        <v>6</v>
      </c>
    </row>
  </sheetData>
  <mergeCells count="6">
    <mergeCell ref="K6:P6"/>
    <mergeCell ref="K5:P5"/>
    <mergeCell ref="K4:P4"/>
    <mergeCell ref="K3:P3"/>
    <mergeCell ref="H2:I2"/>
    <mergeCell ref="K2:P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Md Modassir</cp:lastModifiedBy>
  <cp:revision/>
  <dcterms:created xsi:type="dcterms:W3CDTF">2026-09-18T16:44:55Z</dcterms:created>
  <dcterms:modified xsi:type="dcterms:W3CDTF">2026-09-23T15:12:53Z</dcterms:modified>
  <cp:category/>
  <cp:contentStatus/>
</cp:coreProperties>
</file>