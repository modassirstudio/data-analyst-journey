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59" documentId="11_E60897F41BE170836B02CE998F75CCDC64E183C8" xr6:coauthVersionLast="47" xr6:coauthVersionMax="47" xr10:uidLastSave="{7B430FC9-729B-451D-9BE8-6AE3FB1B318F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Slicer_Category">#N/A</definedName>
  </definedNames>
  <calcPr calcId="191028"/>
  <pivotCaches>
    <pivotCache cacheId="41" r:id="rId2"/>
  </pivotCaches>
  <extLst>
    <ext xmlns:x14="http://schemas.microsoft.com/office/spreadsheetml/2009/9/main" uri="{BBE1A952-AA13-448e-AADC-164F8A28A991}">
      <x14:slicerCaches>
        <x14:slicerCache r:id="rId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Q15" i="1" a="1"/>
  <c r="Q15" i="1"/>
  <c r="G10" i="1"/>
  <c r="G11" i="1"/>
  <c r="G3" i="1"/>
  <c r="G4" i="1"/>
  <c r="G5" i="1"/>
  <c r="G6" i="1"/>
  <c r="G7" i="1"/>
  <c r="G8" i="1"/>
  <c r="G9" i="1"/>
  <c r="G2" i="1"/>
  <c r="Q14" i="1"/>
  <c r="Q11" i="1"/>
  <c r="Q10" i="1"/>
  <c r="Q7" i="1"/>
  <c r="Q6" i="1"/>
  <c r="Q3" i="1"/>
  <c r="Q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<sst xmlns="http://schemas.openxmlformats.org/spreadsheetml/2006/main" count="57" uniqueCount="39">
  <si>
    <t>Order_ID</t>
  </si>
  <si>
    <t>Product</t>
  </si>
  <si>
    <t>Category</t>
  </si>
  <si>
    <t>Quantity</t>
  </si>
  <si>
    <t>Price</t>
  </si>
  <si>
    <t>Customer</t>
  </si>
  <si>
    <t>Order Size</t>
  </si>
  <si>
    <t>Revenue</t>
  </si>
  <si>
    <t xml:space="preserve">
🎯 PART 1: XLOOKUP (2 Tasks)
Task 1. Find the price of "Chocolate".
Task 2. Find which product has Order_ID 1005.</t>
  </si>
  <si>
    <t>XLOOKUP</t>
  </si>
  <si>
    <t xml:space="preserve">
🎯 PART 5: Pivot Table (2 Tasks)
Task 9. Build a Pivot Table showing:
Rows: Customer
Values: Sum of Quantity, Sum of Price
Add a Calculated Field called Revenue = Quantity × Price
Sort by Revenue descending
Task 10. Add a slicer for Category. Test it.</t>
  </si>
  <si>
    <t>Pen</t>
  </si>
  <si>
    <t>Stationery</t>
  </si>
  <si>
    <t>Modassir</t>
  </si>
  <si>
    <t>Sum of Quantity</t>
  </si>
  <si>
    <t>Sum of Price</t>
  </si>
  <si>
    <t>Sum of Revenue</t>
  </si>
  <si>
    <t>Notebook</t>
  </si>
  <si>
    <t>Rahul</t>
  </si>
  <si>
    <t>Coke</t>
  </si>
  <si>
    <t>Beverage</t>
  </si>
  <si>
    <t>Ayan</t>
  </si>
  <si>
    <t>Chips</t>
  </si>
  <si>
    <t>Snacks</t>
  </si>
  <si>
    <t>Sana</t>
  </si>
  <si>
    <t xml:space="preserve">
🎯 PART 2: INDEX + MATCH (2 Tasks)
Task 3. Find the category of "Chips" using INDEX+MATCH.
Task 4. Find the customer who ordered "Marker".</t>
  </si>
  <si>
    <t>INDEX + MATCH</t>
  </si>
  <si>
    <t>Imran</t>
  </si>
  <si>
    <t>Water</t>
  </si>
  <si>
    <t>Chocolate</t>
  </si>
  <si>
    <t>Marker</t>
  </si>
  <si>
    <t>Grand Total</t>
  </si>
  <si>
    <t>Juice</t>
  </si>
  <si>
    <t xml:space="preserve">
🎯 PART 3: SUMIFS / COUNTIFS (2 Tasks)
Task 5. Find the total quantity of Stationery products.
Task 6. Count how many orders are from Modassir.</t>
  </si>
  <si>
    <t>SUMIFS/COUNTIFS</t>
  </si>
  <si>
    <t>Biscuits</t>
  </si>
  <si>
    <t>Eraser</t>
  </si>
  <si>
    <t xml:space="preserve">
🎯 PART 4: Nested IF / IFS (2 Tasks)
Task 7. Create a new column Order Size:
Quantity ≥ 10 → "Large"
Quantity ≥ 5 → "Medium"
Quantity &lt; 5 → "Small"
Use nested IF.
Task 8. Do the same using IFS.</t>
  </si>
  <si>
    <t>Nested IF / 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</si>
</sst>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charset val="1"/>
    </font>
    <font>
      <b/>
      <sz val="13"/>
      <color rgb="FF000000"/>
      <name val="Calibri"/>
      <charset val="1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indent="1"/>
    </xf>
    <xf numFmtId="0" fontId="3" fillId="0" borderId="4" xfId="0" applyFont="1" applyBorder="1" applyAlignment="1">
      <alignment horizontal="left" vertical="top" indent="1"/>
    </xf>
    <xf numFmtId="0" fontId="3" fillId="0" borderId="5" xfId="0" applyFont="1" applyBorder="1" applyAlignment="1">
      <alignment horizontal="left" vertical="top" indent="1"/>
    </xf>
    <xf numFmtId="0" fontId="3" fillId="0" borderId="0" xfId="0" applyFont="1" applyBorder="1" applyAlignment="1">
      <alignment horizontal="left" vertical="top" indent="1"/>
    </xf>
    <xf numFmtId="0" fontId="3" fillId="0" borderId="6" xfId="0" applyFont="1" applyBorder="1" applyAlignment="1">
      <alignment horizontal="left" vertical="top" indent="1"/>
    </xf>
    <xf numFmtId="0" fontId="3" fillId="0" borderId="7" xfId="0" applyFont="1" applyBorder="1" applyAlignment="1">
      <alignment horizontal="left" vertical="top" indent="1"/>
    </xf>
    <xf numFmtId="0" fontId="3" fillId="0" borderId="8" xfId="0" applyFont="1" applyBorder="1" applyAlignment="1">
      <alignment horizontal="left" vertical="top" indent="1"/>
    </xf>
    <xf numFmtId="0" fontId="3" fillId="0" borderId="9" xfId="0" applyFont="1" applyBorder="1" applyAlignment="1">
      <alignment horizontal="left" vertical="top" indent="1"/>
    </xf>
    <xf numFmtId="0" fontId="5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3" fillId="0" borderId="0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 indent="1"/>
    </xf>
    <xf numFmtId="0" fontId="3" fillId="0" borderId="8" xfId="0" applyFont="1" applyBorder="1" applyAlignment="1">
      <alignment horizontal="left" vertical="top" wrapText="1" indent="1"/>
    </xf>
    <xf numFmtId="0" fontId="3" fillId="0" borderId="9" xfId="0" applyFont="1" applyBorder="1" applyAlignment="1">
      <alignment horizontal="left" vertical="top" wrapText="1" indent="1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8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0</xdr:row>
      <xdr:rowOff>381000</xdr:rowOff>
    </xdr:from>
    <xdr:to>
      <xdr:col>34</xdr:col>
      <xdr:colOff>0</xdr:colOff>
      <xdr:row>7</xdr:row>
      <xdr:rowOff>352425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0A66FF74-1635-91AC-5AEA-CF8AEC58C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50650" y="381000"/>
              <a:ext cx="1828800" cy="270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2.59841215278" createdVersion="8" refreshedVersion="8" minRefreshableVersion="3" recordCount="10" xr:uid="{790B37C2-9B3C-4DE7-94DE-9AD4C9249923}">
  <cacheSource type="worksheet">
    <worksheetSource ref="A1:H11" sheet="Sheet1"/>
  </cacheSource>
  <cacheFields count="8">
    <cacheField name="Order_ID" numFmtId="0">
      <sharedItems containsSemiMixedTypes="0" containsString="0" containsNumber="1" containsInteger="1" minValue="1001" maxValue="1010"/>
    </cacheField>
    <cacheField name="Product" numFmtId="0">
      <sharedItems/>
    </cacheField>
    <cacheField name="Category" numFmtId="0">
      <sharedItems count="3">
        <s v="Stationery"/>
        <s v="Beverage"/>
        <s v="Snacks"/>
      </sharedItems>
    </cacheField>
    <cacheField name="Quantity" numFmtId="0">
      <sharedItems containsSemiMixedTypes="0" containsString="0" containsNumber="1" containsInteger="1" minValue="2" maxValue="20"/>
    </cacheField>
    <cacheField name="Price" numFmtId="0">
      <sharedItems containsSemiMixedTypes="0" containsString="0" containsNumber="1" containsInteger="1" minValue="5" maxValue="50"/>
    </cacheField>
    <cacheField name="Customer" numFmtId="0">
      <sharedItems count="5">
        <s v="Modassir"/>
        <s v="Rahul"/>
        <s v="Ayan"/>
        <s v="Sana"/>
        <s v="Imran"/>
      </sharedItems>
    </cacheField>
    <cacheField name="Order Size" numFmtId="0">
      <sharedItems/>
    </cacheField>
    <cacheField name="Revenue" numFmtId="0">
      <sharedItems containsSemiMixedTypes="0" containsString="0" containsNumber="1" containsInteger="1" minValue="50" maxValue="600"/>
    </cacheField>
  </cacheFields>
  <extLst>
    <ext xmlns:x14="http://schemas.microsoft.com/office/spreadsheetml/2009/9/main" uri="{725AE2AE-9491-48be-B2B4-4EB974FC3084}">
      <x14:pivotCacheDefinition pivotCacheId="19320386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Pen"/>
    <x v="0"/>
    <n v="5"/>
    <n v="10"/>
    <x v="0"/>
    <s v="Medium"/>
    <n v="50"/>
  </r>
  <r>
    <n v="1002"/>
    <s v="Notebook"/>
    <x v="0"/>
    <n v="12"/>
    <n v="50"/>
    <x v="1"/>
    <s v="Large"/>
    <n v="600"/>
  </r>
  <r>
    <n v="1003"/>
    <s v="Coke"/>
    <x v="1"/>
    <n v="3"/>
    <n v="20"/>
    <x v="2"/>
    <s v="Small"/>
    <n v="60"/>
  </r>
  <r>
    <n v="1004"/>
    <s v="Chips"/>
    <x v="2"/>
    <n v="2"/>
    <n v="30"/>
    <x v="3"/>
    <s v="Small"/>
    <n v="60"/>
  </r>
  <r>
    <n v="1005"/>
    <s v="Water"/>
    <x v="1"/>
    <n v="8"/>
    <n v="15"/>
    <x v="4"/>
    <s v="Medium"/>
    <n v="120"/>
  </r>
  <r>
    <n v="1006"/>
    <s v="Chocolate"/>
    <x v="2"/>
    <n v="6"/>
    <n v="45"/>
    <x v="0"/>
    <s v="Medium"/>
    <n v="270"/>
  </r>
  <r>
    <n v="1007"/>
    <s v="Marker"/>
    <x v="0"/>
    <n v="15"/>
    <n v="25"/>
    <x v="1"/>
    <s v="Large"/>
    <n v="375"/>
  </r>
  <r>
    <n v="1008"/>
    <s v="Juice"/>
    <x v="1"/>
    <n v="4"/>
    <n v="35"/>
    <x v="2"/>
    <s v="Small"/>
    <n v="140"/>
  </r>
  <r>
    <n v="1009"/>
    <s v="Biscuits"/>
    <x v="2"/>
    <n v="10"/>
    <n v="12"/>
    <x v="3"/>
    <s v="Large"/>
    <n v="120"/>
  </r>
  <r>
    <n v="1010"/>
    <s v="Eraser"/>
    <x v="0"/>
    <n v="20"/>
    <n v="5"/>
    <x v="4"/>
    <s v="Large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83668-C1DD-41FA-B652-26502B527EA4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A2:AD8" firstHeaderRow="0" firstDataRow="1" firstDataCol="1"/>
  <pivotFields count="8"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  <pivotField axis="axisRow" compact="0" outline="0" showAll="0" sortType="descending">
      <items count="6">
        <item x="2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5"/>
  </rowFields>
  <rowItems count="6">
    <i>
      <x v="3"/>
    </i>
    <i>
      <x v="2"/>
    </i>
    <i>
      <x v="1"/>
    </i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3" baseField="0" baseItem="0"/>
    <dataField name="Sum of Price" fld="4" baseField="0" baseItem="0"/>
    <dataField name="Sum of Revenue" fld="7" baseField="0" baseItem="0"/>
  </dataFields>
  <formats count="18">
    <format dxfId="0">
      <pivotArea type="all" dataOnly="0" outline="0" fieldPosition="0"/>
    </format>
    <format dxfId="1">
      <pivotArea outline="0" collapsedLevelsAreSubtotals="1" fieldPosition="0"/>
    </format>
    <format dxfId="2">
      <pivotArea field="5" type="button" dataOnly="0" labelOnly="1" outline="0" axis="axisRow" fieldPosition="0"/>
    </format>
    <format dxfId="3">
      <pivotArea dataOnly="0" labelOnly="1" outline="0" fieldPosition="0">
        <references count="1">
          <reference field="5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5" type="button" dataOnly="0" labelOnly="1" outline="0" axis="axisRow" fieldPosition="0"/>
    </format>
    <format dxfId="9">
      <pivotArea dataOnly="0" labelOnly="1" outline="0" fieldPosition="0">
        <references count="1">
          <reference field="5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5" type="button" dataOnly="0" labelOnly="1" outline="0" axis="axisRow" fieldPosition="0"/>
    </format>
    <format dxfId="15">
      <pivotArea dataOnly="0" labelOnly="1" outline="0" fieldPosition="0">
        <references count="1">
          <reference field="5" count="0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4AF29849-4F73-4529-8AC6-CF083C76CBEC}" sourceName="Category">
  <pivotTables>
    <pivotTable tabId="1" name="PivotTable1"/>
  </pivotTables>
  <data>
    <tabular pivotCacheId="1932038625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DB3A39BD-072D-42A2-8370-5A725F40531E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"/>
  <sheetViews>
    <sheetView tabSelected="1" topLeftCell="V1" workbookViewId="0">
      <selection activeCell="AD2" sqref="AD2"/>
    </sheetView>
  </sheetViews>
  <sheetFormatPr defaultRowHeight="30.75" customHeight="1"/>
  <cols>
    <col min="1" max="5" width="13.85546875" customWidth="1"/>
    <col min="6" max="8" width="14.140625" customWidth="1"/>
    <col min="13" max="13" width="13.28515625" customWidth="1"/>
    <col min="17" max="17" width="11.42578125" customWidth="1"/>
    <col min="27" max="27" width="18" customWidth="1"/>
    <col min="28" max="28" width="18.140625" customWidth="1"/>
    <col min="29" max="29" width="16.5703125" customWidth="1"/>
    <col min="30" max="30" width="19.140625" customWidth="1"/>
  </cols>
  <sheetData>
    <row r="1" spans="1:30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 t="s">
        <v>8</v>
      </c>
      <c r="K1" s="4"/>
      <c r="L1" s="4"/>
      <c r="M1" s="4"/>
      <c r="N1" s="4"/>
      <c r="O1" s="5"/>
      <c r="Q1" s="12" t="s">
        <v>9</v>
      </c>
      <c r="R1" s="13"/>
      <c r="T1" s="3" t="s">
        <v>10</v>
      </c>
      <c r="U1" s="17"/>
      <c r="V1" s="17"/>
      <c r="W1" s="17"/>
      <c r="X1" s="17"/>
      <c r="Y1" s="18"/>
    </row>
    <row r="2" spans="1:30" ht="30.75" customHeight="1">
      <c r="A2" s="2">
        <v>1001</v>
      </c>
      <c r="B2" s="2" t="s">
        <v>11</v>
      </c>
      <c r="C2" s="2" t="s">
        <v>12</v>
      </c>
      <c r="D2" s="2">
        <v>5</v>
      </c>
      <c r="E2" s="2">
        <v>10</v>
      </c>
      <c r="F2" s="2" t="s">
        <v>13</v>
      </c>
      <c r="G2" s="2" t="str">
        <f>IF(D2&gt;=10, "Large", IF(D2&gt;=5, "Medium", "Small"))</f>
        <v>Medium</v>
      </c>
      <c r="H2" s="2">
        <f>D2*E2</f>
        <v>50</v>
      </c>
      <c r="J2" s="6"/>
      <c r="K2" s="7"/>
      <c r="L2" s="7"/>
      <c r="M2" s="7"/>
      <c r="N2" s="7"/>
      <c r="O2" s="8"/>
      <c r="Q2" s="14">
        <f>_xlfn.XLOOKUP("Chocolate", B2:B11, E2:E11)</f>
        <v>45</v>
      </c>
      <c r="R2" s="15"/>
      <c r="T2" s="19"/>
      <c r="U2" s="20"/>
      <c r="V2" s="20"/>
      <c r="W2" s="20"/>
      <c r="X2" s="20"/>
      <c r="Y2" s="21"/>
      <c r="AA2" s="25" t="s">
        <v>5</v>
      </c>
      <c r="AB2" s="26" t="s">
        <v>14</v>
      </c>
      <c r="AC2" s="26" t="s">
        <v>15</v>
      </c>
      <c r="AD2" s="26" t="s">
        <v>16</v>
      </c>
    </row>
    <row r="3" spans="1:30" ht="30.75" customHeight="1">
      <c r="A3" s="2">
        <v>1002</v>
      </c>
      <c r="B3" s="2" t="s">
        <v>17</v>
      </c>
      <c r="C3" s="2" t="s">
        <v>12</v>
      </c>
      <c r="D3" s="2">
        <v>12</v>
      </c>
      <c r="E3" s="2">
        <v>50</v>
      </c>
      <c r="F3" s="2" t="s">
        <v>18</v>
      </c>
      <c r="G3" s="2" t="str">
        <f t="shared" ref="G3:G11" si="0">IF(D3&gt;=10, "Large", IF(D3&gt;=5, "Medium", "Small"))</f>
        <v>Large</v>
      </c>
      <c r="H3" s="2">
        <f t="shared" ref="H3:H11" si="1">D3*E3</f>
        <v>600</v>
      </c>
      <c r="J3" s="9"/>
      <c r="K3" s="10"/>
      <c r="L3" s="10"/>
      <c r="M3" s="10"/>
      <c r="N3" s="10"/>
      <c r="O3" s="11"/>
      <c r="Q3" s="14" t="str">
        <f>_xlfn.XLOOKUP(1005, A2:A11,B2:B11)</f>
        <v>Water</v>
      </c>
      <c r="R3" s="15"/>
      <c r="T3" s="19"/>
      <c r="U3" s="20"/>
      <c r="V3" s="20"/>
      <c r="W3" s="20"/>
      <c r="X3" s="20"/>
      <c r="Y3" s="21"/>
      <c r="AA3" s="26" t="s">
        <v>18</v>
      </c>
      <c r="AB3" s="27">
        <v>27</v>
      </c>
      <c r="AC3" s="27">
        <v>75</v>
      </c>
      <c r="AD3" s="27">
        <v>975</v>
      </c>
    </row>
    <row r="4" spans="1:30" ht="30.75" customHeight="1">
      <c r="A4" s="2">
        <v>1003</v>
      </c>
      <c r="B4" s="2" t="s">
        <v>19</v>
      </c>
      <c r="C4" s="2" t="s">
        <v>20</v>
      </c>
      <c r="D4" s="2">
        <v>3</v>
      </c>
      <c r="E4" s="2">
        <v>20</v>
      </c>
      <c r="F4" s="2" t="s">
        <v>21</v>
      </c>
      <c r="G4" s="2" t="str">
        <f t="shared" si="0"/>
        <v>Small</v>
      </c>
      <c r="H4" s="2">
        <f t="shared" si="1"/>
        <v>60</v>
      </c>
      <c r="T4" s="19"/>
      <c r="U4" s="20"/>
      <c r="V4" s="20"/>
      <c r="W4" s="20"/>
      <c r="X4" s="20"/>
      <c r="Y4" s="21"/>
      <c r="AA4" s="26" t="s">
        <v>13</v>
      </c>
      <c r="AB4" s="27">
        <v>11</v>
      </c>
      <c r="AC4" s="27">
        <v>55</v>
      </c>
      <c r="AD4" s="27">
        <v>320</v>
      </c>
    </row>
    <row r="5" spans="1:30" ht="30.75" customHeight="1">
      <c r="A5" s="2">
        <v>1004</v>
      </c>
      <c r="B5" s="2" t="s">
        <v>22</v>
      </c>
      <c r="C5" s="2" t="s">
        <v>23</v>
      </c>
      <c r="D5" s="2">
        <v>2</v>
      </c>
      <c r="E5" s="2">
        <v>30</v>
      </c>
      <c r="F5" s="2" t="s">
        <v>24</v>
      </c>
      <c r="G5" s="2" t="str">
        <f t="shared" si="0"/>
        <v>Small</v>
      </c>
      <c r="H5" s="2">
        <f t="shared" si="1"/>
        <v>60</v>
      </c>
      <c r="J5" s="3" t="s">
        <v>25</v>
      </c>
      <c r="K5" s="4"/>
      <c r="L5" s="4"/>
      <c r="M5" s="4"/>
      <c r="N5" s="4"/>
      <c r="O5" s="5"/>
      <c r="Q5" s="16" t="s">
        <v>26</v>
      </c>
      <c r="R5" s="13"/>
      <c r="T5" s="19"/>
      <c r="U5" s="20"/>
      <c r="V5" s="20"/>
      <c r="W5" s="20"/>
      <c r="X5" s="20"/>
      <c r="Y5" s="21"/>
      <c r="AA5" s="26" t="s">
        <v>27</v>
      </c>
      <c r="AB5" s="27">
        <v>28</v>
      </c>
      <c r="AC5" s="27">
        <v>20</v>
      </c>
      <c r="AD5" s="27">
        <v>220</v>
      </c>
    </row>
    <row r="6" spans="1:30" ht="30.75" customHeight="1">
      <c r="A6" s="2">
        <v>1005</v>
      </c>
      <c r="B6" s="2" t="s">
        <v>28</v>
      </c>
      <c r="C6" s="2" t="s">
        <v>20</v>
      </c>
      <c r="D6" s="2">
        <v>8</v>
      </c>
      <c r="E6" s="2">
        <v>15</v>
      </c>
      <c r="F6" s="2" t="s">
        <v>27</v>
      </c>
      <c r="G6" s="2" t="str">
        <f t="shared" si="0"/>
        <v>Medium</v>
      </c>
      <c r="H6" s="2">
        <f t="shared" si="1"/>
        <v>120</v>
      </c>
      <c r="J6" s="6"/>
      <c r="K6" s="7"/>
      <c r="L6" s="7"/>
      <c r="M6" s="7"/>
      <c r="N6" s="7"/>
      <c r="O6" s="8"/>
      <c r="Q6" s="14" t="str">
        <f>INDEX(C2:C11, MATCH("Chips", B2:B11, 0))</f>
        <v>Snacks</v>
      </c>
      <c r="R6" s="15"/>
      <c r="T6" s="22"/>
      <c r="U6" s="23"/>
      <c r="V6" s="23"/>
      <c r="W6" s="23"/>
      <c r="X6" s="23"/>
      <c r="Y6" s="24"/>
      <c r="AA6" s="26" t="s">
        <v>21</v>
      </c>
      <c r="AB6" s="27">
        <v>7</v>
      </c>
      <c r="AC6" s="27">
        <v>55</v>
      </c>
      <c r="AD6" s="27">
        <v>200</v>
      </c>
    </row>
    <row r="7" spans="1:30" ht="30.75" customHeight="1">
      <c r="A7" s="2">
        <v>1006</v>
      </c>
      <c r="B7" s="2" t="s">
        <v>29</v>
      </c>
      <c r="C7" s="2" t="s">
        <v>23</v>
      </c>
      <c r="D7" s="2">
        <v>6</v>
      </c>
      <c r="E7" s="2">
        <v>45</v>
      </c>
      <c r="F7" s="2" t="s">
        <v>13</v>
      </c>
      <c r="G7" s="2" t="str">
        <f t="shared" si="0"/>
        <v>Medium</v>
      </c>
      <c r="H7" s="2">
        <f t="shared" si="1"/>
        <v>270</v>
      </c>
      <c r="J7" s="9"/>
      <c r="K7" s="10"/>
      <c r="L7" s="10"/>
      <c r="M7" s="10"/>
      <c r="N7" s="10"/>
      <c r="O7" s="11"/>
      <c r="Q7" s="14" t="str">
        <f>INDEX(F2:F11, MATCH("Marker", B2:B11,0))</f>
        <v>Rahul</v>
      </c>
      <c r="R7" s="15"/>
      <c r="AA7" s="26" t="s">
        <v>24</v>
      </c>
      <c r="AB7" s="27">
        <v>12</v>
      </c>
      <c r="AC7" s="27">
        <v>42</v>
      </c>
      <c r="AD7" s="27">
        <v>180</v>
      </c>
    </row>
    <row r="8" spans="1:30" ht="30.75" customHeight="1">
      <c r="A8" s="2">
        <v>1007</v>
      </c>
      <c r="B8" s="2" t="s">
        <v>30</v>
      </c>
      <c r="C8" s="2" t="s">
        <v>12</v>
      </c>
      <c r="D8" s="2">
        <v>15</v>
      </c>
      <c r="E8" s="2">
        <v>25</v>
      </c>
      <c r="F8" s="2" t="s">
        <v>18</v>
      </c>
      <c r="G8" s="2" t="str">
        <f t="shared" si="0"/>
        <v>Large</v>
      </c>
      <c r="H8" s="2">
        <f t="shared" si="1"/>
        <v>375</v>
      </c>
      <c r="AA8" s="26" t="s">
        <v>31</v>
      </c>
      <c r="AB8" s="27">
        <v>85</v>
      </c>
      <c r="AC8" s="27">
        <v>247</v>
      </c>
      <c r="AD8" s="27">
        <v>1895</v>
      </c>
    </row>
    <row r="9" spans="1:30" ht="30.75" customHeight="1">
      <c r="A9" s="2">
        <v>1008</v>
      </c>
      <c r="B9" s="2" t="s">
        <v>32</v>
      </c>
      <c r="C9" s="2" t="s">
        <v>20</v>
      </c>
      <c r="D9" s="2">
        <v>4</v>
      </c>
      <c r="E9" s="2">
        <v>35</v>
      </c>
      <c r="F9" s="2" t="s">
        <v>21</v>
      </c>
      <c r="G9" s="2" t="str">
        <f t="shared" si="0"/>
        <v>Small</v>
      </c>
      <c r="H9" s="2">
        <f t="shared" si="1"/>
        <v>140</v>
      </c>
      <c r="J9" s="3" t="s">
        <v>33</v>
      </c>
      <c r="K9" s="4"/>
      <c r="L9" s="4"/>
      <c r="M9" s="4"/>
      <c r="N9" s="4"/>
      <c r="O9" s="5"/>
      <c r="Q9" s="16" t="s">
        <v>34</v>
      </c>
      <c r="R9" s="13"/>
    </row>
    <row r="10" spans="1:30" ht="30.75" customHeight="1">
      <c r="A10" s="2">
        <v>1009</v>
      </c>
      <c r="B10" s="2" t="s">
        <v>35</v>
      </c>
      <c r="C10" s="2" t="s">
        <v>23</v>
      </c>
      <c r="D10" s="2">
        <v>10</v>
      </c>
      <c r="E10" s="2">
        <v>12</v>
      </c>
      <c r="F10" s="2" t="s">
        <v>24</v>
      </c>
      <c r="G10" s="2" t="str">
        <f>IF(D10&gt;=10, "Large", IF(D10&gt;=5, "Medium", "Small"))</f>
        <v>Large</v>
      </c>
      <c r="H10" s="2">
        <f t="shared" si="1"/>
        <v>120</v>
      </c>
      <c r="J10" s="6"/>
      <c r="K10" s="7"/>
      <c r="L10" s="7"/>
      <c r="M10" s="7"/>
      <c r="N10" s="7"/>
      <c r="O10" s="8"/>
      <c r="Q10" s="14">
        <f>SUMIFS(D2:D11, C2:C11, "Stationery")</f>
        <v>52</v>
      </c>
      <c r="R10" s="15"/>
    </row>
    <row r="11" spans="1:30" ht="30.75" customHeight="1">
      <c r="A11" s="2">
        <v>1010</v>
      </c>
      <c r="B11" s="2" t="s">
        <v>36</v>
      </c>
      <c r="C11" s="2" t="s">
        <v>12</v>
      </c>
      <c r="D11" s="2">
        <v>20</v>
      </c>
      <c r="E11" s="2">
        <v>5</v>
      </c>
      <c r="F11" s="2" t="s">
        <v>27</v>
      </c>
      <c r="G11" s="2" t="str">
        <f t="shared" si="0"/>
        <v>Large</v>
      </c>
      <c r="H11" s="2">
        <f t="shared" si="1"/>
        <v>100</v>
      </c>
      <c r="J11" s="9"/>
      <c r="K11" s="10"/>
      <c r="L11" s="10"/>
      <c r="M11" s="10"/>
      <c r="N11" s="10"/>
      <c r="O11" s="11"/>
      <c r="Q11" s="14">
        <f>COUNTIFS(F2:F11, "Modassir")</f>
        <v>2</v>
      </c>
      <c r="R11" s="15"/>
    </row>
    <row r="13" spans="1:30" ht="30.75" customHeight="1">
      <c r="J13" s="3" t="s">
        <v>37</v>
      </c>
      <c r="K13" s="17"/>
      <c r="L13" s="17"/>
      <c r="M13" s="17"/>
      <c r="N13" s="17"/>
      <c r="O13" s="18"/>
      <c r="Q13" s="16" t="s">
        <v>38</v>
      </c>
      <c r="R13" s="13"/>
    </row>
    <row r="14" spans="1:30" ht="30.75" customHeight="1">
      <c r="J14" s="19"/>
      <c r="K14" s="20"/>
      <c r="L14" s="20"/>
      <c r="M14" s="20"/>
      <c r="N14" s="20"/>
      <c r="O14" s="21"/>
      <c r="Q14" s="14" t="str">
        <f>IF(D2&gt;=10, "Large", IF(D2&gt;=5, "Medium", "Small"))</f>
        <v>Medium</v>
      </c>
      <c r="R14" s="15"/>
    </row>
    <row r="15" spans="1:30" ht="30.75" customHeight="1">
      <c r="J15" s="19"/>
      <c r="K15" s="20"/>
      <c r="L15" s="20"/>
      <c r="M15" s="20"/>
      <c r="N15" s="20"/>
      <c r="O15" s="21"/>
      <c r="Q15" s="14" t="str" cm="1">
        <f t="array" ref="Q15">_xlfn.IFS(D2&gt;=10, "Large", D2&gt;=5, "Medium", TRUE, "Small")</f>
        <v>Medium</v>
      </c>
      <c r="R15" s="15"/>
    </row>
    <row r="16" spans="1:30" ht="30.75" customHeight="1">
      <c r="J16" s="19"/>
      <c r="K16" s="20"/>
      <c r="L16" s="20"/>
      <c r="M16" s="20"/>
      <c r="N16" s="20"/>
      <c r="O16" s="21"/>
    </row>
    <row r="17" spans="10:15" ht="30.75" customHeight="1">
      <c r="J17" s="19"/>
      <c r="K17" s="20"/>
      <c r="L17" s="20"/>
      <c r="M17" s="20"/>
      <c r="N17" s="20"/>
      <c r="O17" s="21"/>
    </row>
    <row r="18" spans="10:15" ht="30.75" customHeight="1">
      <c r="J18" s="22"/>
      <c r="K18" s="23"/>
      <c r="L18" s="23"/>
      <c r="M18" s="23"/>
      <c r="N18" s="23"/>
      <c r="O18" s="24"/>
    </row>
  </sheetData>
  <mergeCells count="17">
    <mergeCell ref="T1:Y6"/>
    <mergeCell ref="J9:O11"/>
    <mergeCell ref="Q9:R9"/>
    <mergeCell ref="Q10:R10"/>
    <mergeCell ref="Q11:R11"/>
    <mergeCell ref="Q13:R13"/>
    <mergeCell ref="Q14:R14"/>
    <mergeCell ref="J13:O18"/>
    <mergeCell ref="Q15:R15"/>
    <mergeCell ref="J1:O3"/>
    <mergeCell ref="Q1:R1"/>
    <mergeCell ref="Q2:R2"/>
    <mergeCell ref="Q3:R3"/>
    <mergeCell ref="J5:O7"/>
    <mergeCell ref="Q5:R5"/>
    <mergeCell ref="Q6:R6"/>
    <mergeCell ref="Q7:R7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2026-09-27T08:16:21Z</dcterms:created>
  <dcterms:modified xsi:type="dcterms:W3CDTF">2026-09-27T08:56:28Z</dcterms:modified>
  <cp:category/>
  <cp:contentStatus/>
</cp:coreProperties>
</file>