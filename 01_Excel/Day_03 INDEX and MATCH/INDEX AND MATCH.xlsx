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286" documentId="11_E60897F41BE170836B02CE998F75CCDC64E183C8" xr6:coauthVersionLast="47" xr6:coauthVersionMax="47" xr10:uidLastSave="{EAAB7921-B497-4570-AD1E-314E938E8E7C}"/>
  <bookViews>
    <workbookView xWindow="240" yWindow="105" windowWidth="14805" windowHeight="8010" firstSheet="3" activeTab="3" xr2:uid="{00000000-000D-0000-FFFF-FFFF00000000}"/>
  </bookViews>
  <sheets>
    <sheet name="INDEX" sheetId="1" r:id="rId1"/>
    <sheet name="MATCH" sheetId="2" r:id="rId2"/>
    <sheet name="Practice Questins" sheetId="4" r:id="rId3"/>
    <sheet name="INDEX AND MATCH" sheetId="3" r:id="rId4"/>
  </sheets>
  <definedNames>
    <definedName name="_xlnm._FilterDatabase" localSheetId="3" hidden="1">'INDEX AND MATCH'!$K$7:$K$7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2" i="4"/>
  <c r="G6" i="4"/>
  <c r="G5" i="4"/>
  <c r="G4" i="4"/>
  <c r="G5" i="3"/>
  <c r="I7" i="3"/>
  <c r="G4" i="3"/>
  <c r="G3" i="3"/>
  <c r="I6" i="3"/>
  <c r="H7" i="3"/>
  <c r="H6" i="3"/>
  <c r="G7" i="3"/>
  <c r="G6" i="3"/>
  <c r="E3" i="2"/>
  <c r="E5" i="2"/>
  <c r="E4" i="2"/>
  <c r="F6" i="1" a="1"/>
  <c r="F6" i="1"/>
  <c r="F3" i="1" a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<sst xmlns="http://schemas.openxmlformats.org/spreadsheetml/2006/main" count="74" uniqueCount="42">
  <si>
    <t>S.No.</t>
  </si>
  <si>
    <t>Name</t>
  </si>
  <si>
    <t>State</t>
  </si>
  <si>
    <t>Value</t>
  </si>
  <si>
    <t>Column</t>
  </si>
  <si>
    <t>Modassir</t>
  </si>
  <si>
    <t>Bihar</t>
  </si>
  <si>
    <t>Parwez</t>
  </si>
  <si>
    <t>Delhi</t>
  </si>
  <si>
    <t>Sahil</t>
  </si>
  <si>
    <t>Karnataka</t>
  </si>
  <si>
    <t>Row</t>
  </si>
  <si>
    <t>Aamir</t>
  </si>
  <si>
    <t>West Bengal</t>
  </si>
  <si>
    <t>Rakshit</t>
  </si>
  <si>
    <t>Sikkim</t>
  </si>
  <si>
    <t>Sultan</t>
  </si>
  <si>
    <t>Punjab</t>
  </si>
  <si>
    <t>Position Number</t>
  </si>
  <si>
    <t>A (Product)</t>
  </si>
  <si>
    <t>B (Price)</t>
  </si>
  <si>
    <t>C (Category)</t>
  </si>
  <si>
    <t>Task - 1</t>
  </si>
  <si>
    <t>Pen</t>
  </si>
  <si>
    <t>Stationery</t>
  </si>
  <si>
    <t>Task - 2</t>
  </si>
  <si>
    <t>Notebook</t>
  </si>
  <si>
    <t>Task - 3</t>
  </si>
  <si>
    <t>Coke</t>
  </si>
  <si>
    <t>Beverage</t>
  </si>
  <si>
    <t>Task - 4</t>
  </si>
  <si>
    <t>Chips</t>
  </si>
  <si>
    <t>Snacks</t>
  </si>
  <si>
    <t>Task - 5</t>
  </si>
  <si>
    <t>Water</t>
  </si>
  <si>
    <t>E-mail</t>
  </si>
  <si>
    <t>mdassir01@gmail.cm</t>
  </si>
  <si>
    <t>parwez02@gmail.c</t>
  </si>
  <si>
    <t>sahil03@gmail.cm</t>
  </si>
  <si>
    <t>aamir04@gmail.cm</t>
  </si>
  <si>
    <t>rakshit05@gmail.cm</t>
  </si>
  <si>
    <t>sultan06@gmail.cm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</si>
</sst>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amir04@gmail.cm" TargetMode="External"/><Relationship Id="rId2" Type="http://schemas.openxmlformats.org/officeDocument/2006/relationships/hyperlink" Target="mailto:sahil03@gmail.cm" TargetMode="External"/><Relationship Id="rId1" Type="http://schemas.openxmlformats.org/officeDocument/2006/relationships/hyperlink" Target="mailto:parwez02@gmail.c" TargetMode="External"/><Relationship Id="rId6" Type="http://schemas.openxmlformats.org/officeDocument/2006/relationships/hyperlink" Target="mailto:mdassir01@gmail.cm" TargetMode="External"/><Relationship Id="rId5" Type="http://schemas.openxmlformats.org/officeDocument/2006/relationships/hyperlink" Target="mailto:sultan06@gmail.cm" TargetMode="External"/><Relationship Id="rId4" Type="http://schemas.openxmlformats.org/officeDocument/2006/relationships/hyperlink" Target="mailto:rakshit05@gmail.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workbookViewId="0">
      <selection activeCell="W5" sqref="W5"/>
    </sheetView>
  </sheetViews>
  <sheetFormatPr defaultRowHeight="15"/>
  <cols>
    <col min="2" max="3" width="15.5703125" customWidth="1"/>
    <col min="4" max="4" width="19.5703125" customWidth="1"/>
    <col min="6" max="6" width="15.7109375" customWidth="1"/>
    <col min="7" max="7" width="15.85546875" customWidth="1"/>
    <col min="8" max="8" width="16.140625" customWidth="1"/>
  </cols>
  <sheetData>
    <row r="1" spans="2:8" ht="33" customHeight="1"/>
    <row r="2" spans="2:8" ht="33" customHeight="1">
      <c r="B2" s="3" t="s">
        <v>0</v>
      </c>
      <c r="C2" s="3" t="s">
        <v>1</v>
      </c>
      <c r="D2" s="3" t="s">
        <v>2</v>
      </c>
      <c r="F2" s="2" t="s">
        <v>3</v>
      </c>
      <c r="G2" s="2" t="s">
        <v>4</v>
      </c>
    </row>
    <row r="3" spans="2:8" ht="33" customHeight="1">
      <c r="B3" s="1">
        <v>1</v>
      </c>
      <c r="C3" s="1" t="s">
        <v>5</v>
      </c>
      <c r="D3" s="1" t="s">
        <v>6</v>
      </c>
      <c r="F3" s="1" t="str" cm="1">
        <f t="array" ref="F3">INDEX(MATCH!B3:B8,G3)</f>
        <v>Parwez</v>
      </c>
      <c r="G3" s="1">
        <v>2</v>
      </c>
    </row>
    <row r="4" spans="2:8" ht="33" customHeight="1">
      <c r="B4" s="1">
        <v>2</v>
      </c>
      <c r="C4" s="1" t="s">
        <v>7</v>
      </c>
      <c r="D4" s="1" t="s">
        <v>8</v>
      </c>
    </row>
    <row r="5" spans="2:8" ht="33" customHeight="1">
      <c r="B5" s="1">
        <v>3</v>
      </c>
      <c r="C5" s="1" t="s">
        <v>9</v>
      </c>
      <c r="D5" s="1" t="s">
        <v>10</v>
      </c>
      <c r="F5" s="2" t="s">
        <v>3</v>
      </c>
      <c r="G5" s="2" t="s">
        <v>4</v>
      </c>
      <c r="H5" s="2" t="s">
        <v>11</v>
      </c>
    </row>
    <row r="6" spans="2:8" ht="33" customHeight="1">
      <c r="B6" s="1">
        <v>4</v>
      </c>
      <c r="C6" s="1" t="s">
        <v>12</v>
      </c>
      <c r="D6" s="1" t="s">
        <v>13</v>
      </c>
      <c r="F6" s="1" t="str" cm="1">
        <f t="array" ref="F6">INDEX(B3:D8,G6,H6)</f>
        <v>Bihar</v>
      </c>
      <c r="G6" s="1">
        <v>1</v>
      </c>
      <c r="H6" s="1">
        <v>3</v>
      </c>
    </row>
    <row r="7" spans="2:8" ht="33" customHeight="1">
      <c r="B7" s="1">
        <v>5</v>
      </c>
      <c r="C7" s="1" t="s">
        <v>14</v>
      </c>
      <c r="D7" s="1" t="s">
        <v>15</v>
      </c>
    </row>
    <row r="8" spans="2:8" ht="33" customHeight="1">
      <c r="B8" s="1">
        <v>6</v>
      </c>
      <c r="C8" s="1" t="s">
        <v>16</v>
      </c>
      <c r="D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97CB-38F4-4B39-9EEF-4BB052060D75}">
  <dimension ref="A2:E8"/>
  <sheetViews>
    <sheetView workbookViewId="0">
      <selection activeCell="V26" sqref="V26"/>
    </sheetView>
  </sheetViews>
  <sheetFormatPr defaultRowHeight="15"/>
  <cols>
    <col min="1" max="1" width="12.85546875" customWidth="1"/>
    <col min="2" max="2" width="15.140625" customWidth="1"/>
    <col min="4" max="4" width="18.28515625" customWidth="1"/>
    <col min="5" max="5" width="25.7109375" customWidth="1"/>
  </cols>
  <sheetData>
    <row r="2" spans="1:5" ht="33" customHeight="1">
      <c r="A2" s="3" t="s">
        <v>0</v>
      </c>
      <c r="B2" s="3" t="s">
        <v>1</v>
      </c>
      <c r="D2" s="3" t="s">
        <v>1</v>
      </c>
      <c r="E2" s="3" t="s">
        <v>18</v>
      </c>
    </row>
    <row r="3" spans="1:5" ht="33" customHeight="1">
      <c r="A3" s="1">
        <v>1</v>
      </c>
      <c r="B3" s="1" t="s">
        <v>5</v>
      </c>
      <c r="D3" s="1" t="s">
        <v>16</v>
      </c>
      <c r="E3" s="1">
        <f>MATCH(D3,$B$3:$B$8,0)</f>
        <v>6</v>
      </c>
    </row>
    <row r="4" spans="1:5" ht="33" customHeight="1">
      <c r="A4" s="1">
        <v>2</v>
      </c>
      <c r="B4" s="1" t="s">
        <v>7</v>
      </c>
      <c r="D4" s="1" t="s">
        <v>9</v>
      </c>
      <c r="E4" s="1">
        <f>MATCH(D4,$B$3:$B$8,0)</f>
        <v>3</v>
      </c>
    </row>
    <row r="5" spans="1:5" ht="33" customHeight="1">
      <c r="A5" s="1">
        <v>3</v>
      </c>
      <c r="B5" s="1" t="s">
        <v>9</v>
      </c>
      <c r="D5" s="1" t="s">
        <v>5</v>
      </c>
      <c r="E5" s="1">
        <f>MATCH(D5,$B$3:$B$8,0)</f>
        <v>1</v>
      </c>
    </row>
    <row r="6" spans="1:5" ht="33" customHeight="1">
      <c r="A6" s="1">
        <v>4</v>
      </c>
      <c r="B6" s="1" t="s">
        <v>12</v>
      </c>
    </row>
    <row r="7" spans="1:5" ht="33" customHeight="1">
      <c r="A7" s="1">
        <v>5</v>
      </c>
      <c r="B7" s="1" t="s">
        <v>14</v>
      </c>
    </row>
    <row r="8" spans="1:5" ht="33" customHeight="1">
      <c r="A8" s="1">
        <v>6</v>
      </c>
      <c r="B8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EBFC-9FC9-42FB-81F5-287C5235306C}">
  <dimension ref="B2:G8"/>
  <sheetViews>
    <sheetView workbookViewId="0">
      <selection activeCell="W6" sqref="W6"/>
    </sheetView>
  </sheetViews>
  <sheetFormatPr defaultRowHeight="15"/>
  <cols>
    <col min="2" max="4" width="18" customWidth="1"/>
    <col min="6" max="6" width="16.140625" customWidth="1"/>
    <col min="7" max="7" width="18" customWidth="1"/>
  </cols>
  <sheetData>
    <row r="2" spans="2:7" ht="33" customHeight="1">
      <c r="B2" s="2" t="s">
        <v>19</v>
      </c>
      <c r="C2" s="2" t="s">
        <v>20</v>
      </c>
      <c r="D2" s="2" t="s">
        <v>21</v>
      </c>
      <c r="F2" s="2" t="s">
        <v>22</v>
      </c>
      <c r="G2" s="5">
        <f>MATCH(B6, B3:B7,0)</f>
        <v>4</v>
      </c>
    </row>
    <row r="3" spans="2:7" ht="33" customHeight="1">
      <c r="B3" s="1" t="s">
        <v>23</v>
      </c>
      <c r="C3" s="1">
        <v>10</v>
      </c>
      <c r="D3" s="1" t="s">
        <v>24</v>
      </c>
      <c r="F3" s="2" t="s">
        <v>25</v>
      </c>
      <c r="G3" s="5" t="str">
        <f>INDEX(B3:B7, 4)</f>
        <v>Chips</v>
      </c>
    </row>
    <row r="4" spans="2:7" ht="33" customHeight="1">
      <c r="B4" s="1" t="s">
        <v>26</v>
      </c>
      <c r="C4" s="1">
        <v>50</v>
      </c>
      <c r="D4" s="1" t="s">
        <v>24</v>
      </c>
      <c r="F4" s="2" t="s">
        <v>27</v>
      </c>
      <c r="G4" s="5">
        <f>INDEX(C3:C7, MATCH("Water", B3:B7, 0))</f>
        <v>15</v>
      </c>
    </row>
    <row r="5" spans="2:7" ht="33" customHeight="1">
      <c r="B5" s="1" t="s">
        <v>28</v>
      </c>
      <c r="C5" s="1">
        <v>20</v>
      </c>
      <c r="D5" s="1" t="s">
        <v>29</v>
      </c>
      <c r="F5" s="2" t="s">
        <v>30</v>
      </c>
      <c r="G5" s="5" t="str">
        <f>INDEX(B3:B7, MATCH(30, C3:C7, 0))</f>
        <v>Chips</v>
      </c>
    </row>
    <row r="6" spans="2:7" ht="33" customHeight="1">
      <c r="B6" s="1" t="s">
        <v>31</v>
      </c>
      <c r="C6" s="1">
        <v>30</v>
      </c>
      <c r="D6" s="1" t="s">
        <v>32</v>
      </c>
      <c r="F6" s="2" t="s">
        <v>33</v>
      </c>
      <c r="G6" s="5" t="str">
        <f>INDEX(D3:D7, MATCH("Coke", B3:B7, 0))</f>
        <v>Beverage</v>
      </c>
    </row>
    <row r="7" spans="2:7" ht="33" customHeight="1">
      <c r="B7" s="1" t="s">
        <v>34</v>
      </c>
      <c r="C7" s="1">
        <v>15</v>
      </c>
      <c r="D7" s="1" t="s">
        <v>29</v>
      </c>
    </row>
    <row r="8" spans="2:7" ht="3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40F2-4F02-4BC2-A58A-64BCC74E6B61}">
  <dimension ref="B2:I8"/>
  <sheetViews>
    <sheetView tabSelected="1" topLeftCell="E1" workbookViewId="0">
      <selection activeCell="M3" sqref="M3"/>
    </sheetView>
  </sheetViews>
  <sheetFormatPr defaultRowHeight="15"/>
  <cols>
    <col min="2" max="4" width="20.42578125" customWidth="1"/>
    <col min="5" max="5" width="29.85546875" customWidth="1"/>
    <col min="7" max="7" width="27.42578125" customWidth="1"/>
    <col min="8" max="8" width="18.28515625" customWidth="1"/>
    <col min="9" max="9" width="15.140625" customWidth="1"/>
    <col min="10" max="10" width="26.85546875" customWidth="1"/>
  </cols>
  <sheetData>
    <row r="2" spans="2:9" ht="42" customHeight="1">
      <c r="B2" s="3" t="s">
        <v>0</v>
      </c>
      <c r="C2" s="3" t="s">
        <v>1</v>
      </c>
      <c r="D2" s="3" t="s">
        <v>2</v>
      </c>
      <c r="E2" s="3" t="s">
        <v>35</v>
      </c>
      <c r="G2" s="3" t="s">
        <v>3</v>
      </c>
    </row>
    <row r="3" spans="2:9" ht="42" customHeight="1">
      <c r="B3" s="1">
        <v>1</v>
      </c>
      <c r="C3" s="1" t="s">
        <v>5</v>
      </c>
      <c r="D3" s="1" t="s">
        <v>6</v>
      </c>
      <c r="E3" s="4" t="s">
        <v>36</v>
      </c>
      <c r="G3" s="1" t="str">
        <f>INDEX(D3:D8, MATCH("Parwez", C3:C8, 0))</f>
        <v>Delhi</v>
      </c>
    </row>
    <row r="4" spans="2:9" ht="42" customHeight="1">
      <c r="B4" s="1">
        <v>2</v>
      </c>
      <c r="C4" s="1" t="s">
        <v>7</v>
      </c>
      <c r="D4" s="1" t="s">
        <v>8</v>
      </c>
      <c r="E4" s="4" t="s">
        <v>37</v>
      </c>
      <c r="G4" s="1" t="str">
        <f>INDEX(E3:E8, MATCH(B6, B3:B8,0))</f>
        <v>aamir04@gmail.cm</v>
      </c>
    </row>
    <row r="5" spans="2:9" ht="42" customHeight="1">
      <c r="B5" s="1">
        <v>3</v>
      </c>
      <c r="C5" s="1" t="s">
        <v>9</v>
      </c>
      <c r="D5" s="1" t="s">
        <v>10</v>
      </c>
      <c r="E5" s="4" t="s">
        <v>38</v>
      </c>
      <c r="G5" s="1">
        <f>INDEX(B3:B8, MATCH(C3,C3:C8,0))</f>
        <v>1</v>
      </c>
    </row>
    <row r="6" spans="2:9" ht="42" customHeight="1">
      <c r="B6" s="1">
        <v>4</v>
      </c>
      <c r="C6" s="1" t="s">
        <v>12</v>
      </c>
      <c r="D6" s="1" t="s">
        <v>13</v>
      </c>
      <c r="E6" s="4" t="s">
        <v>39</v>
      </c>
      <c r="G6" s="1">
        <f>MATCH("West Bengal",D3:D8,0)</f>
        <v>4</v>
      </c>
      <c r="H6" s="1" t="str">
        <f>INDEX(C3:C8, MATCH(3, B3:B8, 0))</f>
        <v>Sahil</v>
      </c>
      <c r="I6" s="1" t="str">
        <f>INDEX(D3:D8, MATCH("Rakshit",C3:C8, 0))</f>
        <v>Sikkim</v>
      </c>
    </row>
    <row r="7" spans="2:9" ht="42" customHeight="1">
      <c r="B7" s="1">
        <v>5</v>
      </c>
      <c r="C7" s="1" t="s">
        <v>14</v>
      </c>
      <c r="D7" s="1" t="s">
        <v>15</v>
      </c>
      <c r="E7" s="4" t="s">
        <v>40</v>
      </c>
      <c r="G7" s="1" t="str">
        <f>INDEX(C3:C8, 4)</f>
        <v>Aamir</v>
      </c>
      <c r="H7" s="1" t="str">
        <f>INDEX(C3:C8, MATCH("Karnataka", D3:D8, 0))</f>
        <v>Sahil</v>
      </c>
      <c r="I7" s="1" t="str">
        <f>INDEX(D3:D8, MATCH(C4, C3:C8, 0))</f>
        <v>Delhi</v>
      </c>
    </row>
    <row r="8" spans="2:9" ht="42" customHeight="1">
      <c r="B8" s="1">
        <v>6</v>
      </c>
      <c r="C8" s="1" t="s">
        <v>16</v>
      </c>
      <c r="D8" s="1" t="s">
        <v>17</v>
      </c>
      <c r="E8" s="4" t="s">
        <v>41</v>
      </c>
    </row>
  </sheetData>
  <hyperlinks>
    <hyperlink ref="E4" r:id="rId1" xr:uid="{EC677EA2-977A-4F1A-84B7-768D03E63FFE}"/>
    <hyperlink ref="E5" r:id="rId2" xr:uid="{B7CE123A-6CE5-40FA-8CFF-E8BE768DE02F}"/>
    <hyperlink ref="E6" r:id="rId3" xr:uid="{B65802F5-5370-4FE5-A248-D39E335B2F91}"/>
    <hyperlink ref="E7" r:id="rId4" xr:uid="{03EDD361-923B-424E-931A-13D849A7CFA4}"/>
    <hyperlink ref="E8" r:id="rId5" xr:uid="{1C34233A-5943-4FA2-808A-C4C234E96733}"/>
    <hyperlink ref="E3" r:id="rId6" xr:uid="{F93C5D86-7276-49E4-AE4D-9FDC7E90D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2026-09-16T12:01:46Z</dcterms:created>
  <dcterms:modified xsi:type="dcterms:W3CDTF">2026-10-01T05:04:41Z</dcterms:modified>
  <cp:category/>
  <cp:contentStatus/>
</cp:coreProperties>
</file>